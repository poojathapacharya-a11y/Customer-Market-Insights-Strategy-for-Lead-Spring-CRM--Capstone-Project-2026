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oojathapaacharya/Downloads/"/>
    </mc:Choice>
  </mc:AlternateContent>
  <xr:revisionPtr revIDLastSave="0" documentId="13_ncr:1_{FD8F5E6A-FEA3-884D-B5DD-C8C180BD9B38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Summary Dashboard" sheetId="1" r:id="rId1"/>
    <sheet name="Pivot — Emp Size" sheetId="2" r:id="rId2"/>
    <sheet name="Top 10 Industries" sheetId="3" r:id="rId3"/>
    <sheet name="Customer Segmentation" sheetId="4" r:id="rId4"/>
    <sheet name="Business Opportunities" sheetId="5" r:id="rId5"/>
    <sheet name="Year on Year Trend" sheetId="6" r:id="rId6"/>
    <sheet name="WA Entries &amp; Exits" sheetId="7" r:id="rId7"/>
    <sheet name="Survival Rates" sheetId="8" r:id="rId8"/>
    <sheet name="Segment Summary" sheetId="9" r:id="rId9"/>
  </sheets>
  <calcPr calcId="191029"/>
  <pivotCaches>
    <pivotCache cacheId="8" r:id="rId10"/>
    <pivotCache cacheId="13" r:id="rId11"/>
    <pivotCache cacheId="17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4" i="2"/>
</calcChain>
</file>

<file path=xl/sharedStrings.xml><?xml version="1.0" encoding="utf-8"?>
<sst xmlns="http://schemas.openxmlformats.org/spreadsheetml/2006/main" count="491" uniqueCount="338">
  <si>
    <t>THE NAVIGATORS — Lead Spring CRM | ABS Market Analysis Summary</t>
  </si>
  <si>
    <t>KEY WA MARKET STATISTICS</t>
  </si>
  <si>
    <t>Metric</t>
  </si>
  <si>
    <t>Value</t>
  </si>
  <si>
    <t>Context</t>
  </si>
  <si>
    <t>Note</t>
  </si>
  <si>
    <t>Total WA Businesses — June 2025</t>
  </si>
  <si>
    <t>266,273</t>
  </si>
  <si>
    <t>ABS CABEE 2024-25</t>
  </si>
  <si>
    <t>New WA Business Entries 2024-25</t>
  </si>
  <si>
    <t>43,723</t>
  </si>
  <si>
    <t>17.1% entry rate</t>
  </si>
  <si>
    <t>119 new businesses every day</t>
  </si>
  <si>
    <t>WA Business Exits 2024-25</t>
  </si>
  <si>
    <t>33,190</t>
  </si>
  <si>
    <t>13.0% exit rate</t>
  </si>
  <si>
    <t>WA Net New Businesses 2024-25</t>
  </si>
  <si>
    <t>+10,877</t>
  </si>
  <si>
    <t>4.3% net growth</t>
  </si>
  <si>
    <t>Fastest growth in Australia</t>
  </si>
  <si>
    <t>WA 4-Year Business Survival Rate</t>
  </si>
  <si>
    <t>64.1%</t>
  </si>
  <si>
    <t>35.9% fail in 4 yrs</t>
  </si>
  <si>
    <t>CRM reduces failure risk</t>
  </si>
  <si>
    <t>CRM Return on Investment</t>
  </si>
  <si>
    <t>$8.71/$1</t>
  </si>
  <si>
    <t>Nucleus Research</t>
  </si>
  <si>
    <t>LEAD SPRING TARGET SEGMENTS — PRIORITY ORDER</t>
  </si>
  <si>
    <t>Segment</t>
  </si>
  <si>
    <t>WA Businesses</t>
  </si>
  <si>
    <t>Small Biz %</t>
  </si>
  <si>
    <t>Growth Rate 2024-25</t>
  </si>
  <si>
    <t>Priority</t>
  </si>
  <si>
    <t>Professional Services</t>
  </si>
  <si>
    <t>19,671</t>
  </si>
  <si>
    <t>97.3%</t>
  </si>
  <si>
    <t>+2.5%</t>
  </si>
  <si>
    <t>#1 — Target First</t>
  </si>
  <si>
    <t>Financial &amp; Insurance</t>
  </si>
  <si>
    <t>8,408</t>
  </si>
  <si>
    <t>98.5%</t>
  </si>
  <si>
    <t>+3.7%</t>
  </si>
  <si>
    <t>#2 — Target Second</t>
  </si>
  <si>
    <t>Health &amp; Wellness</t>
  </si>
  <si>
    <t>17,033</t>
  </si>
  <si>
    <t>97.1%</t>
  </si>
  <si>
    <t>+6.6%</t>
  </si>
  <si>
    <t>#3 — Fastest Growing</t>
  </si>
  <si>
    <t>Construction &amp; Trades</t>
  </si>
  <si>
    <t>41,811</t>
  </si>
  <si>
    <t>97.6%</t>
  </si>
  <si>
    <t>+2.2%</t>
  </si>
  <si>
    <t>#4 — Largest Market</t>
  </si>
  <si>
    <t>Source: ABS CABEE 2021-2025 (abs.gov.au) | Prepared by The Navigators — Curtin University 2026</t>
  </si>
  <si>
    <t>PIVOT TABLE — WA Industries by Employment Size | Source: ABS Cube 2 WA 2024-25</t>
  </si>
  <si>
    <t>Industry</t>
  </si>
  <si>
    <t>Non-Employing (0)</t>
  </si>
  <si>
    <t>1-4 Employees</t>
  </si>
  <si>
    <t>5-19 Employees</t>
  </si>
  <si>
    <t>20-199 Employees</t>
  </si>
  <si>
    <t>200+ Employees</t>
  </si>
  <si>
    <t>Total Businesses</t>
  </si>
  <si>
    <t>Lead Spring Target</t>
  </si>
  <si>
    <t>Non-Residential Property Operators</t>
  </si>
  <si>
    <t>99.8%</t>
  </si>
  <si>
    <t>No</t>
  </si>
  <si>
    <t>Management Advice &amp; Related Consulting Services</t>
  </si>
  <si>
    <t>98.0%</t>
  </si>
  <si>
    <t>Courier Pick-up and Delivery Services</t>
  </si>
  <si>
    <t>Other Transport Support Services n.e.c.</t>
  </si>
  <si>
    <t>100.0%</t>
  </si>
  <si>
    <t>Road Freight Transport</t>
  </si>
  <si>
    <t>Engineering Design &amp; Consulting Services</t>
  </si>
  <si>
    <t>96.5%</t>
  </si>
  <si>
    <t>Financial Asset Investing</t>
  </si>
  <si>
    <t>98.7%</t>
  </si>
  <si>
    <t>General Practice Medical Services</t>
  </si>
  <si>
    <t>Electrical Services</t>
  </si>
  <si>
    <t>House Construction</t>
  </si>
  <si>
    <t>98.4%</t>
  </si>
  <si>
    <t>Carpentry Services</t>
  </si>
  <si>
    <t>99.2%</t>
  </si>
  <si>
    <t>Building &amp; Other Industrial Cleaning Services</t>
  </si>
  <si>
    <t>Cafes and Restaurants</t>
  </si>
  <si>
    <t>88.4%</t>
  </si>
  <si>
    <t>Computer System Design &amp; Related Services</t>
  </si>
  <si>
    <t>Residential Property Operators</t>
  </si>
  <si>
    <t>GRAND TOTAL</t>
  </si>
  <si>
    <t>Source: ABS CABEE 2024-25 | The Navigators — Curtin University 2026</t>
  </si>
  <si>
    <t>TOP 10 AUSTRALIAN INDUSTRIES BY BUSINESS COUNT (June 2025) | Source: ABS Cube 1</t>
  </si>
  <si>
    <t>Rank</t>
  </si>
  <si>
    <t>Total Businesses (June 2025)</t>
  </si>
  <si>
    <t>Change from 2024</t>
  </si>
  <si>
    <t>% Change</t>
  </si>
  <si>
    <t>Entry Rate %</t>
  </si>
  <si>
    <t>Exit Rate %</t>
  </si>
  <si>
    <t>Construction</t>
  </si>
  <si>
    <t>2.2%</t>
  </si>
  <si>
    <t>16.9%</t>
  </si>
  <si>
    <t>14.7%</t>
  </si>
  <si>
    <t>YES</t>
  </si>
  <si>
    <t>Professional, Scientific &amp; Technical Services</t>
  </si>
  <si>
    <t>2.5%</t>
  </si>
  <si>
    <t>16.2%</t>
  </si>
  <si>
    <t>13.6%</t>
  </si>
  <si>
    <t>Rental, Hiring and Real Estate Services</t>
  </si>
  <si>
    <t>3.1%</t>
  </si>
  <si>
    <t>12.5%</t>
  </si>
  <si>
    <t>9.4%</t>
  </si>
  <si>
    <t>Transport, Postal and Warehousing</t>
  </si>
  <si>
    <t>5.1%</t>
  </si>
  <si>
    <t>26.9%</t>
  </si>
  <si>
    <t>21.9%</t>
  </si>
  <si>
    <t>Health Care and Social Assistance</t>
  </si>
  <si>
    <t>6.6%</t>
  </si>
  <si>
    <t>17.3%</t>
  </si>
  <si>
    <t>10.7%</t>
  </si>
  <si>
    <t>Agriculture, Forestry and Fishing</t>
  </si>
  <si>
    <t>-0.8%</t>
  </si>
  <si>
    <t>7.2%</t>
  </si>
  <si>
    <t>8.0%</t>
  </si>
  <si>
    <t>Retail Trade</t>
  </si>
  <si>
    <t>-0.4%</t>
  </si>
  <si>
    <t>15.4%</t>
  </si>
  <si>
    <t>15.8%</t>
  </si>
  <si>
    <t>Other Services</t>
  </si>
  <si>
    <t>2.7%</t>
  </si>
  <si>
    <t>17.2%</t>
  </si>
  <si>
    <t>14.5%</t>
  </si>
  <si>
    <t>Financial and Insurance Services</t>
  </si>
  <si>
    <t>3.7%</t>
  </si>
  <si>
    <t>16.4%</t>
  </si>
  <si>
    <t>12.6%</t>
  </si>
  <si>
    <t>Administrative and Support Services</t>
  </si>
  <si>
    <t>2.6%</t>
  </si>
  <si>
    <t>20.4%</t>
  </si>
  <si>
    <t>17.9%</t>
  </si>
  <si>
    <t>Source: ABS CABEE 2024-25 | YES = Lead Spring CRM target industries</t>
  </si>
  <si>
    <t>CUSTOMER SEGMENTATION MATRIX — Lead Spring CRM Priority Segments | ABS Cube 2 2024-25</t>
  </si>
  <si>
    <t>Small Businesses (0-19)</t>
  </si>
  <si>
    <t>Digital Readiness</t>
  </si>
  <si>
    <t>Recommended Package</t>
  </si>
  <si>
    <t>Key Pain Point</t>
  </si>
  <si>
    <t>High</t>
  </si>
  <si>
    <t>CRM Setup $2,000+</t>
  </si>
  <si>
    <t>Lead follow-up &amp; pipeline visibility</t>
  </si>
  <si>
    <t>Financial Services</t>
  </si>
  <si>
    <t>Long sales cycle &amp; lead nurturing</t>
  </si>
  <si>
    <t>Medium</t>
  </si>
  <si>
    <t>Automation Package</t>
  </si>
  <si>
    <t>Appointment rebooking &amp; retention</t>
  </si>
  <si>
    <t>Low</t>
  </si>
  <si>
    <t>Starter Audit $600</t>
  </si>
  <si>
    <t>Missed leads while on the job</t>
  </si>
  <si>
    <t>EMPLOYMENT SIZE SEGMENTATION — Which Size Needs CRM Most?</t>
  </si>
  <si>
    <t>Size Category</t>
  </si>
  <si>
    <t>Employee Range</t>
  </si>
  <si>
    <t>Est. WA Business Count</t>
  </si>
  <si>
    <t>CRM Need Level</t>
  </si>
  <si>
    <t>Lead Spring Recommendation</t>
  </si>
  <si>
    <t>Sole Trader / Non-employing</t>
  </si>
  <si>
    <t>0 employees</t>
  </si>
  <si>
    <t>~110,000 WA businesses</t>
  </si>
  <si>
    <t>High — no system at all</t>
  </si>
  <si>
    <t>Free call → Starter Audit $600</t>
  </si>
  <si>
    <t>Micro Business</t>
  </si>
  <si>
    <t>1-4 employees</t>
  </si>
  <si>
    <t>~98,000 WA businesses</t>
  </si>
  <si>
    <t>Very High — manual chaos</t>
  </si>
  <si>
    <t>Starter Audit $600 → CRM Setup</t>
  </si>
  <si>
    <t>Small Business</t>
  </si>
  <si>
    <t>5-19 employees</t>
  </si>
  <si>
    <t>~38,000 WA businesses</t>
  </si>
  <si>
    <t>Very High — losing leads daily</t>
  </si>
  <si>
    <t>CRM Setup from $2,000</t>
  </si>
  <si>
    <t>Medium Business</t>
  </si>
  <si>
    <t>20-199 employees</t>
  </si>
  <si>
    <t>~18,000 WA businesses</t>
  </si>
  <si>
    <t>Medium — partial system exists</t>
  </si>
  <si>
    <t>Full CRM + Automation $2,000+</t>
  </si>
  <si>
    <t>Large Business</t>
  </si>
  <si>
    <t>200+ employees</t>
  </si>
  <si>
    <t>~2,000 WA businesses</t>
  </si>
  <si>
    <t>Low — enterprise CRM exists</t>
  </si>
  <si>
    <t>Not primary target</t>
  </si>
  <si>
    <t>Source: ABS Cube 2 WA 2024-25 | The Navigators — Curtin University 2026</t>
  </si>
  <si>
    <t>BUSINESS OPPORTUNITY ANALYSIS — High Growth Industries + Many SMEs | ABS 2024-25</t>
  </si>
  <si>
    <t>Criteria: High business growth | Many SMEs (97%+) | Digital transformation needs | Growing entry rate</t>
  </si>
  <si>
    <t>% Change 2024-25</t>
  </si>
  <si>
    <t>Opportunity Score</t>
  </si>
  <si>
    <t>Why Lead Spring Wins Here</t>
  </si>
  <si>
    <t>Fastest growing +6.6% nationally — appointment automation delivers immediate ROI</t>
  </si>
  <si>
    <t>+2.6%</t>
  </si>
  <si>
    <t>High admin burden — marketing automation saves hours weekly</t>
  </si>
  <si>
    <t>Commission-driven — every lost lead = lost income — growing +3.7%</t>
  </si>
  <si>
    <t>24.1% of Perth CBD workers — 3x WA average — highest digital readiness</t>
  </si>
  <si>
    <t>Largest WA market — missing leads while on-site is the #1 pain point</t>
  </si>
  <si>
    <t>Education and Training</t>
  </si>
  <si>
    <t>+2.4%</t>
  </si>
  <si>
    <t>Repeat enrolment model — automated follow-up fills courses</t>
  </si>
  <si>
    <t>+3.1%</t>
  </si>
  <si>
    <t>High lead volume — pipeline management critical — seasonal demand</t>
  </si>
  <si>
    <t>3-MONTH ACTION PLAN — LEAD SPRING CRM</t>
  </si>
  <si>
    <t>Month</t>
  </si>
  <si>
    <t>Action</t>
  </si>
  <si>
    <t>Tool</t>
  </si>
  <si>
    <t>Est. Cost (AUD)</t>
  </si>
  <si>
    <t>Est. Revenue (AUD)</t>
  </si>
  <si>
    <t>Month 1</t>
  </si>
  <si>
    <t>Google Ads — CRM consultant Perth — Professional Services targeting</t>
  </si>
  <si>
    <t>Google Ads</t>
  </si>
  <si>
    <t>$500</t>
  </si>
  <si>
    <t>$4,000-$6,000</t>
  </si>
  <si>
    <t>Email campaign to existing contacts — AI follow-up sequences</t>
  </si>
  <si>
    <t>Mailchimp + AI</t>
  </si>
  <si>
    <t>$100</t>
  </si>
  <si>
    <t>$2,000</t>
  </si>
  <si>
    <t>Referral outreach — contact 5 Perth accountants this week</t>
  </si>
  <si>
    <t>Email (free)</t>
  </si>
  <si>
    <t>$0</t>
  </si>
  <si>
    <t>$2,000-$4,000</t>
  </si>
  <si>
    <t>Month 2</t>
  </si>
  <si>
    <t>YouTube video — Ross on camera, AI edited</t>
  </si>
  <si>
    <t>HeyGen</t>
  </si>
  <si>
    <t>$300</t>
  </si>
  <si>
    <t>Long-term brand</t>
  </si>
  <si>
    <t>Facebook/Instagram ads — Health &amp; Wellness targeting</t>
  </si>
  <si>
    <t>Meta Ads</t>
  </si>
  <si>
    <t>Month 3</t>
  </si>
  <si>
    <t>Scale best-performing channel — double budget on highest ROI</t>
  </si>
  <si>
    <t>All platforms</t>
  </si>
  <si>
    <t>$1,100+</t>
  </si>
  <si>
    <t>$10,000-$20,000</t>
  </si>
  <si>
    <t>Source: HubSpot 2024 | Salesforce SMB Trends 2024 | The Navigators 2026</t>
  </si>
  <si>
    <t>YEAR-ON-YEAR BUSINESS TREND — Lead Spring Target Segments 2021-2025 | ABS Cube 1</t>
  </si>
  <si>
    <t>2021-22</t>
  </si>
  <si>
    <t>2022-23</t>
  </si>
  <si>
    <t>2023-24</t>
  </si>
  <si>
    <t>2024-25</t>
  </si>
  <si>
    <t>Net Growth 2021-2025</t>
  </si>
  <si>
    <t>% Growth</t>
  </si>
  <si>
    <t>Trend</t>
  </si>
  <si>
    <t>Opportunity</t>
  </si>
  <si>
    <t>+7.2%</t>
  </si>
  <si>
    <t>Growing</t>
  </si>
  <si>
    <t>+22.5%</t>
  </si>
  <si>
    <t>+11.7%</t>
  </si>
  <si>
    <t>Target</t>
  </si>
  <si>
    <t>+6.3%</t>
  </si>
  <si>
    <t>Source: ABS CABEE All Industries All Years | The Navigators — Curtin University 2026</t>
  </si>
  <si>
    <t>WA BUSINESS ENTRIES &amp; EXITS ANALYSIS 2021-2025 | Source: ABS Cube 1 — WA Summary</t>
  </si>
  <si>
    <t>Year</t>
  </si>
  <si>
    <t>Businesses at Start</t>
  </si>
  <si>
    <t>New Entries</t>
  </si>
  <si>
    <t>Exits</t>
  </si>
  <si>
    <t>Businesses at End</t>
  </si>
  <si>
    <t>Net Change</t>
  </si>
  <si>
    <t>4.2%</t>
  </si>
  <si>
    <t>16.6%</t>
  </si>
  <si>
    <t>12.4%</t>
  </si>
  <si>
    <t>2.9%</t>
  </si>
  <si>
    <t>15.6%</t>
  </si>
  <si>
    <t>12.9%</t>
  </si>
  <si>
    <t>3.5%</t>
  </si>
  <si>
    <t>13.2%</t>
  </si>
  <si>
    <t>4.3%</t>
  </si>
  <si>
    <t>17.1%</t>
  </si>
  <si>
    <t>13.0%</t>
  </si>
  <si>
    <t>KEY INSIGHTS FOR LEAD SPRING CRM</t>
  </si>
  <si>
    <t>- 43,723 new WA businesses entered the market in 2024-25 — every one needs CRM from day one</t>
  </si>
  <si>
    <t>- 119 new potential Lead Spring clients enter the WA market EVERY DAY</t>
  </si>
  <si>
    <t>- 33,190 exits — many failed due to poor lead management and no follow-up system</t>
  </si>
  <si>
    <t>- WA entry rate 17.1% — highest business formation rate in Australia</t>
  </si>
  <si>
    <t>- Net growth +10,877 businesses in 2024-25 — the addressable market grows every year</t>
  </si>
  <si>
    <t>Source: ABS CABEE 2021-2025 (abs.gov.au) | The Navigators — Curtin University 2026</t>
  </si>
  <si>
    <t>4-YEAR BUSINESS SURVIVAL RATES BY STATE (2021-2025) | Source: ABS Cube 1</t>
  </si>
  <si>
    <t>State</t>
  </si>
  <si>
    <t>Businesses June 2021</t>
  </si>
  <si>
    <t>Survived June 2022</t>
  </si>
  <si>
    <t>Rate 2022 %</t>
  </si>
  <si>
    <t>Survived June 2023</t>
  </si>
  <si>
    <t>Rate 2023 %</t>
  </si>
  <si>
    <t>Survived June 2025</t>
  </si>
  <si>
    <t>Rate 2025 %</t>
  </si>
  <si>
    <t>New South Wales</t>
  </si>
  <si>
    <t>87.1%</t>
  </si>
  <si>
    <t>76.8%</t>
  </si>
  <si>
    <t>62.9%</t>
  </si>
  <si>
    <t>Victoria</t>
  </si>
  <si>
    <t>87.3%</t>
  </si>
  <si>
    <t>76.9%</t>
  </si>
  <si>
    <t>62.6%</t>
  </si>
  <si>
    <t>Queensland</t>
  </si>
  <si>
    <t>South Australia</t>
  </si>
  <si>
    <t>88.7%</t>
  </si>
  <si>
    <t>79.1%</t>
  </si>
  <si>
    <t>65.5%</t>
  </si>
  <si>
    <t>Western Australia</t>
  </si>
  <si>
    <t>87.6%</t>
  </si>
  <si>
    <t>77.8%</t>
  </si>
  <si>
    <t>Tasmania</t>
  </si>
  <si>
    <t>65.6%</t>
  </si>
  <si>
    <t>Northern Territory</t>
  </si>
  <si>
    <t>87.2%</t>
  </si>
  <si>
    <t>76.7%</t>
  </si>
  <si>
    <t>62.8%</t>
  </si>
  <si>
    <t>Australian Capital Terr.</t>
  </si>
  <si>
    <t>85.9%</t>
  </si>
  <si>
    <t>75.5%</t>
  </si>
  <si>
    <t>60.8%</t>
  </si>
  <si>
    <t>WA Survival Rate = 64.1% — 35.9% of WA businesses FAIL within 4 years — CRM &amp; automation reduces this risk</t>
  </si>
  <si>
    <t>LEAD SPRING CRM — FINAL SEGMENT SUMMARY | Source: ABS Cube 2 WA 2024-25</t>
  </si>
  <si>
    <t>No. of Sub-Industries</t>
  </si>
  <si>
    <t>Total WA Businesses</t>
  </si>
  <si>
    <t>Avg Entry Rate %</t>
  </si>
  <si>
    <t>Avg Exit Rate %</t>
  </si>
  <si>
    <t>Lead Spring Priority</t>
  </si>
  <si>
    <t>13.4%</t>
  </si>
  <si>
    <t>11.8%</t>
  </si>
  <si>
    <t>#1</t>
  </si>
  <si>
    <t>14.6%</t>
  </si>
  <si>
    <t>9.8%</t>
  </si>
  <si>
    <t>#2</t>
  </si>
  <si>
    <t>15.2%</t>
  </si>
  <si>
    <t>10.4%</t>
  </si>
  <si>
    <t>#3</t>
  </si>
  <si>
    <t>12.2%</t>
  </si>
  <si>
    <t>16.7%</t>
  </si>
  <si>
    <t>#4</t>
  </si>
  <si>
    <t>TOTAL</t>
  </si>
  <si>
    <t>Row Labels</t>
  </si>
  <si>
    <t>Grand Total</t>
  </si>
  <si>
    <t>0-19 employee</t>
  </si>
  <si>
    <t>1-19 employee</t>
  </si>
  <si>
    <t>Sum of 0-19 employee</t>
  </si>
  <si>
    <t>Sum of 1-19 employee</t>
  </si>
  <si>
    <t>Sum of Total Businesses (June 2025)</t>
  </si>
  <si>
    <t>Sum of Small Businesses (0-19)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</si>
</sst>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0E4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[Navigators_Analysis_Results_Simple.xlsx]Pivot — Emp Size!PivotTable2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— Emp Size'!$B$23</c:f>
              <c:strCache>
                <c:ptCount val="1"/>
                <c:pt idx="0">
                  <c:v>Sum of 1-19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— Emp Size'!$A$24:$A$40</c:f>
              <c:strCache>
                <c:ptCount val="16"/>
                <c:pt idx="0">
                  <c:v>Building &amp; Other Industrial Cleaning Services</c:v>
                </c:pt>
                <c:pt idx="1">
                  <c:v>Cafes and Restaurants</c:v>
                </c:pt>
                <c:pt idx="2">
                  <c:v>Carpentry Services</c:v>
                </c:pt>
                <c:pt idx="3">
                  <c:v>Computer System Design &amp; Related Services</c:v>
                </c:pt>
                <c:pt idx="4">
                  <c:v>Courier Pick-up and Delivery Services</c:v>
                </c:pt>
                <c:pt idx="5">
                  <c:v>Electrical Services</c:v>
                </c:pt>
                <c:pt idx="6">
                  <c:v>Engineering Design &amp; Consulting Services</c:v>
                </c:pt>
                <c:pt idx="7">
                  <c:v>Financial Asset Investing</c:v>
                </c:pt>
                <c:pt idx="8">
                  <c:v>General Practice Medical Services</c:v>
                </c:pt>
                <c:pt idx="9">
                  <c:v>GRAND TOTAL</c:v>
                </c:pt>
                <c:pt idx="10">
                  <c:v>House Construction</c:v>
                </c:pt>
                <c:pt idx="11">
                  <c:v>Management Advice &amp; Related Consulting Services</c:v>
                </c:pt>
                <c:pt idx="12">
                  <c:v>Non-Residential Property Operators</c:v>
                </c:pt>
                <c:pt idx="13">
                  <c:v>Other Transport Support Services n.e.c.</c:v>
                </c:pt>
                <c:pt idx="14">
                  <c:v>Residential Property Operators</c:v>
                </c:pt>
                <c:pt idx="15">
                  <c:v>Road Freight Transport</c:v>
                </c:pt>
              </c:strCache>
            </c:strRef>
          </c:cat>
          <c:val>
            <c:numRef>
              <c:f>'Pivot — Emp Size'!$B$24:$B$40</c:f>
              <c:numCache>
                <c:formatCode>General</c:formatCode>
                <c:ptCount val="16"/>
                <c:pt idx="0">
                  <c:v>1097</c:v>
                </c:pt>
                <c:pt idx="1">
                  <c:v>2993</c:v>
                </c:pt>
                <c:pt idx="2">
                  <c:v>1519</c:v>
                </c:pt>
                <c:pt idx="3">
                  <c:v>1679</c:v>
                </c:pt>
                <c:pt idx="4">
                  <c:v>441</c:v>
                </c:pt>
                <c:pt idx="5">
                  <c:v>2453</c:v>
                </c:pt>
                <c:pt idx="6">
                  <c:v>3010</c:v>
                </c:pt>
                <c:pt idx="7">
                  <c:v>1176</c:v>
                </c:pt>
                <c:pt idx="8">
                  <c:v>1521</c:v>
                </c:pt>
                <c:pt idx="9">
                  <c:v>24320</c:v>
                </c:pt>
                <c:pt idx="10">
                  <c:v>1723</c:v>
                </c:pt>
                <c:pt idx="11">
                  <c:v>3239</c:v>
                </c:pt>
                <c:pt idx="12">
                  <c:v>905</c:v>
                </c:pt>
                <c:pt idx="13">
                  <c:v>114</c:v>
                </c:pt>
                <c:pt idx="14">
                  <c:v>359</c:v>
                </c:pt>
                <c:pt idx="15">
                  <c:v>2091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9B45-84E1-D2379E846669}"/>
            </c:ext>
          </c:extLst>
        </c:ser>
        <c:ser>
          <c:idx val="1"/>
          <c:order val="1"/>
          <c:tx>
            <c:strRef>
              <c:f>'Pivot — Emp Size'!$C$23</c:f>
              <c:strCache>
                <c:ptCount val="1"/>
                <c:pt idx="0">
                  <c:v>Sum of 0-19 employee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— Emp Size'!$A$24:$A$40</c:f>
              <c:strCache>
                <c:ptCount val="16"/>
                <c:pt idx="0">
                  <c:v>Building &amp; Other Industrial Cleaning Services</c:v>
                </c:pt>
                <c:pt idx="1">
                  <c:v>Cafes and Restaurants</c:v>
                </c:pt>
                <c:pt idx="2">
                  <c:v>Carpentry Services</c:v>
                </c:pt>
                <c:pt idx="3">
                  <c:v>Computer System Design &amp; Related Services</c:v>
                </c:pt>
                <c:pt idx="4">
                  <c:v>Courier Pick-up and Delivery Services</c:v>
                </c:pt>
                <c:pt idx="5">
                  <c:v>Electrical Services</c:v>
                </c:pt>
                <c:pt idx="6">
                  <c:v>Engineering Design &amp; Consulting Services</c:v>
                </c:pt>
                <c:pt idx="7">
                  <c:v>Financial Asset Investing</c:v>
                </c:pt>
                <c:pt idx="8">
                  <c:v>General Practice Medical Services</c:v>
                </c:pt>
                <c:pt idx="9">
                  <c:v>GRAND TOTAL</c:v>
                </c:pt>
                <c:pt idx="10">
                  <c:v>House Construction</c:v>
                </c:pt>
                <c:pt idx="11">
                  <c:v>Management Advice &amp; Related Consulting Services</c:v>
                </c:pt>
                <c:pt idx="12">
                  <c:v>Non-Residential Property Operators</c:v>
                </c:pt>
                <c:pt idx="13">
                  <c:v>Other Transport Support Services n.e.c.</c:v>
                </c:pt>
                <c:pt idx="14">
                  <c:v>Residential Property Operators</c:v>
                </c:pt>
                <c:pt idx="15">
                  <c:v>Road Freight Transport</c:v>
                </c:pt>
              </c:strCache>
            </c:strRef>
          </c:cat>
          <c:val>
            <c:numRef>
              <c:f>'Pivot — Emp Size'!$C$24:$C$40</c:f>
              <c:numCache>
                <c:formatCode>General</c:formatCode>
                <c:ptCount val="16"/>
                <c:pt idx="0">
                  <c:v>4407</c:v>
                </c:pt>
                <c:pt idx="1">
                  <c:v>3950</c:v>
                </c:pt>
                <c:pt idx="2">
                  <c:v>4727</c:v>
                </c:pt>
                <c:pt idx="3">
                  <c:v>4327</c:v>
                </c:pt>
                <c:pt idx="4">
                  <c:v>9013</c:v>
                </c:pt>
                <c:pt idx="5">
                  <c:v>4699</c:v>
                </c:pt>
                <c:pt idx="6">
                  <c:v>6691</c:v>
                </c:pt>
                <c:pt idx="7">
                  <c:v>6276</c:v>
                </c:pt>
                <c:pt idx="8">
                  <c:v>5248</c:v>
                </c:pt>
                <c:pt idx="9">
                  <c:v>100026</c:v>
                </c:pt>
                <c:pt idx="10">
                  <c:v>4745</c:v>
                </c:pt>
                <c:pt idx="11">
                  <c:v>9245</c:v>
                </c:pt>
                <c:pt idx="12">
                  <c:v>17897</c:v>
                </c:pt>
                <c:pt idx="13">
                  <c:v>7400</c:v>
                </c:pt>
                <c:pt idx="14">
                  <c:v>4400</c:v>
                </c:pt>
                <c:pt idx="15">
                  <c:v>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9B45-84E1-D2379E846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168512"/>
        <c:axId val="1224170224"/>
      </c:barChart>
      <c:catAx>
        <c:axId val="122416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70224"/>
        <c:crosses val="autoZero"/>
        <c:auto val="1"/>
        <c:lblAlgn val="ctr"/>
        <c:lblOffset val="100"/>
        <c:noMultiLvlLbl val="0"/>
      </c:catAx>
      <c:valAx>
        <c:axId val="122417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6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[Navigators_Analysis_Results_Simple.xlsx]Top 10 Industries!PivotTable3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Industries'!$C$17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Industries'!$B$18:$B$28</c:f>
              <c:strCache>
                <c:ptCount val="10"/>
                <c:pt idx="0">
                  <c:v>Construction</c:v>
                </c:pt>
                <c:pt idx="1">
                  <c:v>Professional, Scientific &amp; Technical Services</c:v>
                </c:pt>
                <c:pt idx="2">
                  <c:v>Rental, Hiring and Real Estate Services</c:v>
                </c:pt>
                <c:pt idx="3">
                  <c:v>Transport, Postal and Warehousing</c:v>
                </c:pt>
                <c:pt idx="4">
                  <c:v>Health Care and Social Assistance</c:v>
                </c:pt>
                <c:pt idx="5">
                  <c:v>Agriculture, Forestry and Fishing</c:v>
                </c:pt>
                <c:pt idx="6">
                  <c:v>Retail Trade</c:v>
                </c:pt>
                <c:pt idx="7">
                  <c:v>Other Services</c:v>
                </c:pt>
                <c:pt idx="8">
                  <c:v>Financial and Insurance Services</c:v>
                </c:pt>
                <c:pt idx="9">
                  <c:v>Administrative and Support Services</c:v>
                </c:pt>
              </c:strCache>
            </c:strRef>
          </c:cat>
          <c:val>
            <c:numRef>
              <c:f>'Top 10 Industries'!$C$18:$C$28</c:f>
              <c:numCache>
                <c:formatCode>General</c:formatCode>
                <c:ptCount val="10"/>
                <c:pt idx="0">
                  <c:v>462939</c:v>
                </c:pt>
                <c:pt idx="1">
                  <c:v>353261</c:v>
                </c:pt>
                <c:pt idx="2">
                  <c:v>308127</c:v>
                </c:pt>
                <c:pt idx="3">
                  <c:v>249289</c:v>
                </c:pt>
                <c:pt idx="4">
                  <c:v>213177</c:v>
                </c:pt>
                <c:pt idx="5">
                  <c:v>170890</c:v>
                </c:pt>
                <c:pt idx="6">
                  <c:v>156169</c:v>
                </c:pt>
                <c:pt idx="7">
                  <c:v>134569</c:v>
                </c:pt>
                <c:pt idx="8">
                  <c:v>133743</c:v>
                </c:pt>
                <c:pt idx="9">
                  <c:v>127108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1-7248-8445-E7A71294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905520"/>
        <c:axId val="1222907232"/>
      </c:barChart>
      <c:catAx>
        <c:axId val="122290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07232"/>
        <c:crosses val="autoZero"/>
        <c:auto val="1"/>
        <c:lblAlgn val="ctr"/>
        <c:lblOffset val="100"/>
        <c:noMultiLvlLbl val="0"/>
      </c:catAx>
      <c:valAx>
        <c:axId val="12229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0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[Navigators_Analysis_Results_Simple.xlsx]Customer Segmentation!PivotTable4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Segmentation'!$J$10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'Customer Segmentation'!$I$11:$I$15</c:f>
              <c:strCache>
                <c:ptCount val="4"/>
                <c:pt idx="0">
                  <c:v>Construction &amp; Trades</c:v>
                </c:pt>
                <c:pt idx="1">
                  <c:v>Financial Services</c:v>
                </c:pt>
                <c:pt idx="2">
                  <c:v>Health &amp; Wellness</c:v>
                </c:pt>
                <c:pt idx="3">
                  <c:v>Professional Services</c:v>
                </c:pt>
              </c:strCache>
            </c:strRef>
          </c:cat>
          <c:val>
            <c:numRef>
              <c:f>'Customer Segmentation'!$J$11:$J$15</c:f>
              <c:numCache>
                <c:formatCode>General</c:formatCode>
                <c:ptCount val="4"/>
                <c:pt idx="0">
                  <c:v>40800</c:v>
                </c:pt>
                <c:pt idx="1">
                  <c:v>8284</c:v>
                </c:pt>
                <c:pt idx="2">
                  <c:v>16541</c:v>
                </c:pt>
                <c:pt idx="3">
                  <c:v>19140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B-A94B-A507-2E24BC0C6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21</xdr:row>
      <xdr:rowOff>152400</xdr:rowOff>
    </xdr:from>
    <xdr:to>
      <xdr:col>6</xdr:col>
      <xdr:colOff>1866900</xdr:colOff>
      <xdr:row>42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D3753F-5695-CCDF-E937-15B51F370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14</xdr:row>
      <xdr:rowOff>50800</xdr:rowOff>
    </xdr:from>
    <xdr:to>
      <xdr:col>16</xdr:col>
      <xdr:colOff>50800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30EC4-C7EF-C945-6F49-51900186A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1358900</xdr:colOff>
      <xdr:row>18</xdr:row>
      <xdr:rowOff>184150</xdr:rowOff>
    </xdr:from>
    <xdr:to>
      <xdr:col>5</xdr:col>
      <xdr:colOff>1130300</xdr:colOff>
      <xdr:row>33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74A98-093C-25BC-D546-9225E2D1A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Thapa Acharya" refreshedDate="46186.983375694443" createdVersion="8" refreshedVersion="8" minRefreshableVersion="3" recordCount="16" xr:uid="{931C637C-7114-AF49-9B1A-3685AAB30DD8}">
  <cacheSource type="worksheet">
    <worksheetSource ref="A3:K19" sheet="Pivot — Emp Size"/>
  </cacheSource>
  <cacheFields count="11">
    <cacheField name="Industry" numFmtId="0">
      <sharedItems count="16">
        <s v="Non-Residential Property Operators"/>
        <s v="Management Advice &amp; Related Consulting Services"/>
        <s v="Courier Pick-up and Delivery Services"/>
        <s v="Other Transport Support Services n.e.c."/>
        <s v="Road Freight Transport"/>
        <s v="Engineering Design &amp; Consulting Services"/>
        <s v="Financial Asset Investing"/>
        <s v="General Practice Medical Services"/>
        <s v="Electrical Services"/>
        <s v="House Construction"/>
        <s v="Carpentry Services"/>
        <s v="Building &amp; Other Industrial Cleaning Services"/>
        <s v="Cafes and Restaurants"/>
        <s v="Computer System Design &amp; Related Services"/>
        <s v="Residential Property Operators"/>
        <s v="GRAND TOTAL"/>
      </sharedItems>
    </cacheField>
    <cacheField name="Non-Employing (0)" numFmtId="0">
      <sharedItems containsSemiMixedTypes="0" containsString="0" containsNumber="1" containsInteger="1" minValue="957" maxValue="75706"/>
    </cacheField>
    <cacheField name="1-4 Employees" numFmtId="0">
      <sharedItems containsSemiMixedTypes="0" containsString="0" containsNumber="1" containsInteger="1" minValue="95" maxValue="18703"/>
    </cacheField>
    <cacheField name="5-19 Employees" numFmtId="0">
      <sharedItems containsSemiMixedTypes="0" containsString="0" containsNumber="1" containsInteger="1" minValue="19" maxValue="5617"/>
    </cacheField>
    <cacheField name="20-199 Employees" numFmtId="0">
      <sharedItems containsSemiMixedTypes="0" containsString="0" containsNumber="1" containsInteger="1" minValue="3" maxValue="1687"/>
    </cacheField>
    <cacheField name="0-19 employee" numFmtId="0">
      <sharedItems containsSemiMixedTypes="0" containsString="0" containsNumber="1" containsInteger="1" minValue="3950" maxValue="100026"/>
    </cacheField>
    <cacheField name="1-19 employee" numFmtId="0">
      <sharedItems containsSemiMixedTypes="0" containsString="0" containsNumber="1" containsInteger="1" minValue="114" maxValue="24320"/>
    </cacheField>
    <cacheField name="200+ Employees" numFmtId="0">
      <sharedItems containsSemiMixedTypes="0" containsString="0" containsNumber="1" containsInteger="1" minValue="0" maxValue="69"/>
    </cacheField>
    <cacheField name="Total Businesses" numFmtId="0">
      <sharedItems containsSemiMixedTypes="0" containsString="0" containsNumber="1" containsInteger="1" minValue="4411" maxValue="101783"/>
    </cacheField>
    <cacheField name="Small Biz %" numFmtId="0">
      <sharedItems containsBlank="1"/>
    </cacheField>
    <cacheField name="Lead Spring Targ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Thapa Acharya" refreshedDate="46186.984995254628" createdVersion="8" refreshedVersion="8" minRefreshableVersion="3" recordCount="10" xr:uid="{B83E5B87-04C8-FA4F-8401-931CD2A879CA}">
  <cacheSource type="worksheet">
    <worksheetSource ref="A3:H13" sheet="Top 10 Industries"/>
  </cacheSource>
  <cacheFields count="8">
    <cacheField name="Rank" numFmtId="0">
      <sharedItems containsSemiMixedTypes="0" containsString="0" containsNumber="1" containsInteger="1" minValue="1" maxValue="10"/>
    </cacheField>
    <cacheField name="Industry" numFmtId="0">
      <sharedItems count="10">
        <s v="Construction"/>
        <s v="Professional, Scientific &amp; Technical Services"/>
        <s v="Rental, Hiring and Real Estate Services"/>
        <s v="Transport, Postal and Warehousing"/>
        <s v="Health Care and Social Assistance"/>
        <s v="Agriculture, Forestry and Fishing"/>
        <s v="Retail Trade"/>
        <s v="Other Services"/>
        <s v="Financial and Insurance Services"/>
        <s v="Administrative and Support Services"/>
      </sharedItems>
    </cacheField>
    <cacheField name="Total Businesses (June 2025)" numFmtId="0">
      <sharedItems containsSemiMixedTypes="0" containsString="0" containsNumber="1" containsInteger="1" minValue="127108" maxValue="462939"/>
    </cacheField>
    <cacheField name="Change from 2024" numFmtId="0">
      <sharedItems containsSemiMixedTypes="0" containsString="0" containsNumber="1" containsInteger="1" minValue="-1464" maxValue="13181"/>
    </cacheField>
    <cacheField name="% Change" numFmtId="0">
      <sharedItems count="10">
        <s v="2.2%"/>
        <s v="2.5%"/>
        <s v="3.1%"/>
        <s v="5.1%"/>
        <s v="6.6%"/>
        <s v="-0.8%"/>
        <s v="-0.4%"/>
        <s v="2.7%"/>
        <s v="3.7%"/>
        <s v="2.6%"/>
      </sharedItems>
    </cacheField>
    <cacheField name="Entry Rate %" numFmtId="0">
      <sharedItems/>
    </cacheField>
    <cacheField name="Exit Rate %" numFmtId="0">
      <sharedItems/>
    </cacheField>
    <cacheField name="Lead Spring Targ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Thapa Acharya" refreshedDate="46186.986673148145" createdVersion="8" refreshedVersion="8" minRefreshableVersion="3" recordCount="4" xr:uid="{AEBB2CA6-8740-2E47-861A-33505029A46B}">
  <cacheSource type="worksheet">
    <worksheetSource ref="A3:I7" sheet="Customer Segmentation"/>
  </cacheSource>
  <cacheFields count="9">
    <cacheField name="Segment" numFmtId="0">
      <sharedItems count="4">
        <s v="Professional Services"/>
        <s v="Financial Services"/>
        <s v="Health &amp; Wellness"/>
        <s v="Construction &amp; Trades"/>
      </sharedItems>
    </cacheField>
    <cacheField name="WA Businesses" numFmtId="0">
      <sharedItems containsSemiMixedTypes="0" containsString="0" containsNumber="1" containsInteger="1" minValue="8408" maxValue="41811"/>
    </cacheField>
    <cacheField name="Small Businesses (0-19)" numFmtId="0">
      <sharedItems containsSemiMixedTypes="0" containsString="0" containsNumber="1" containsInteger="1" minValue="8284" maxValue="40800"/>
    </cacheField>
    <cacheField name="Small Biz %" numFmtId="0">
      <sharedItems/>
    </cacheField>
    <cacheField name="Growth Rate 2024-25" numFmtId="0">
      <sharedItems/>
    </cacheField>
    <cacheField name="Digital Readiness" numFmtId="0">
      <sharedItems/>
    </cacheField>
    <cacheField name="Priority" numFmtId="0">
      <sharedItems/>
    </cacheField>
    <cacheField name="Recommended Package" numFmtId="0">
      <sharedItems/>
    </cacheField>
    <cacheField name="Key Pain Poi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16992"/>
    <n v="725"/>
    <n v="180"/>
    <n v="28"/>
    <n v="17897"/>
    <n v="905"/>
    <n v="0"/>
    <n v="17925"/>
    <s v="99.8%"/>
    <s v="No"/>
  </r>
  <r>
    <x v="1"/>
    <n v="6006"/>
    <n v="2740"/>
    <n v="499"/>
    <n v="182"/>
    <n v="9245"/>
    <n v="3239"/>
    <n v="6"/>
    <n v="9433"/>
    <s v="98.0%"/>
    <s v="No"/>
  </r>
  <r>
    <x v="2"/>
    <n v="8572"/>
    <n v="381"/>
    <n v="60"/>
    <n v="22"/>
    <n v="9013"/>
    <n v="441"/>
    <n v="0"/>
    <n v="9035"/>
    <s v="99.8%"/>
    <s v="No"/>
  </r>
  <r>
    <x v="3"/>
    <n v="7286"/>
    <n v="95"/>
    <n v="19"/>
    <n v="3"/>
    <n v="7400"/>
    <n v="114"/>
    <n v="0"/>
    <n v="7403"/>
    <s v="100.0%"/>
    <s v="No"/>
  </r>
  <r>
    <x v="4"/>
    <n v="4910"/>
    <n v="1700"/>
    <n v="391"/>
    <n v="132"/>
    <n v="7001"/>
    <n v="2091"/>
    <n v="10"/>
    <n v="7143"/>
    <s v="98.0%"/>
    <s v="No"/>
  </r>
  <r>
    <x v="5"/>
    <n v="3681"/>
    <n v="2516"/>
    <n v="494"/>
    <n v="228"/>
    <n v="6691"/>
    <n v="3010"/>
    <n v="17"/>
    <n v="6936"/>
    <s v="96.5%"/>
    <s v="No"/>
  </r>
  <r>
    <x v="6"/>
    <n v="5100"/>
    <n v="925"/>
    <n v="251"/>
    <n v="78"/>
    <n v="6276"/>
    <n v="1176"/>
    <n v="3"/>
    <n v="6356"/>
    <s v="98.7%"/>
    <s v="No"/>
  </r>
  <r>
    <x v="7"/>
    <n v="3727"/>
    <n v="1088"/>
    <n v="433"/>
    <n v="69"/>
    <n v="5248"/>
    <n v="1521"/>
    <n v="0"/>
    <n v="5318"/>
    <s v="98.7%"/>
    <s v="No"/>
  </r>
  <r>
    <x v="8"/>
    <n v="2246"/>
    <n v="1922"/>
    <n v="531"/>
    <n v="134"/>
    <n v="4699"/>
    <n v="2453"/>
    <n v="6"/>
    <n v="4839"/>
    <s v="97.1%"/>
    <s v="No"/>
  </r>
  <r>
    <x v="9"/>
    <n v="3022"/>
    <n v="1445"/>
    <n v="278"/>
    <n v="69"/>
    <n v="4745"/>
    <n v="1723"/>
    <n v="6"/>
    <n v="4820"/>
    <s v="98.4%"/>
    <s v="No"/>
  </r>
  <r>
    <x v="10"/>
    <n v="3208"/>
    <n v="1305"/>
    <n v="214"/>
    <n v="36"/>
    <n v="4727"/>
    <n v="1519"/>
    <n v="0"/>
    <n v="4765"/>
    <s v="99.2%"/>
    <s v="No"/>
  </r>
  <r>
    <x v="11"/>
    <n v="3310"/>
    <n v="818"/>
    <n v="279"/>
    <n v="102"/>
    <n v="4407"/>
    <n v="1097"/>
    <n v="6"/>
    <n v="4515"/>
    <s v="97.6%"/>
    <s v="No"/>
  </r>
  <r>
    <x v="12"/>
    <n v="957"/>
    <n v="1377"/>
    <n v="1616"/>
    <n v="509"/>
    <n v="3950"/>
    <n v="2993"/>
    <n v="8"/>
    <n v="4467"/>
    <s v="88.4%"/>
    <s v="No"/>
  </r>
  <r>
    <x v="13"/>
    <n v="2648"/>
    <n v="1368"/>
    <n v="311"/>
    <n v="86"/>
    <n v="4327"/>
    <n v="1679"/>
    <n v="4"/>
    <n v="4417"/>
    <s v="98.0%"/>
    <s v="No"/>
  </r>
  <r>
    <x v="14"/>
    <n v="4041"/>
    <n v="298"/>
    <n v="61"/>
    <n v="9"/>
    <n v="4400"/>
    <n v="359"/>
    <n v="3"/>
    <n v="4411"/>
    <s v="99.8%"/>
    <s v="No"/>
  </r>
  <r>
    <x v="15"/>
    <n v="75706"/>
    <n v="18703"/>
    <n v="5617"/>
    <n v="1687"/>
    <n v="100026"/>
    <n v="24320"/>
    <n v="69"/>
    <n v="10178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n v="462939"/>
    <n v="10002"/>
    <x v="0"/>
    <s v="16.9%"/>
    <s v="14.7%"/>
    <s v="YES"/>
  </r>
  <r>
    <n v="2"/>
    <x v="1"/>
    <n v="353261"/>
    <n v="8677"/>
    <x v="1"/>
    <s v="16.2%"/>
    <s v="13.6%"/>
    <s v="YES"/>
  </r>
  <r>
    <n v="3"/>
    <x v="2"/>
    <n v="308127"/>
    <n v="9261"/>
    <x v="2"/>
    <s v="12.5%"/>
    <s v="9.4%"/>
    <s v="YES"/>
  </r>
  <r>
    <n v="4"/>
    <x v="3"/>
    <n v="249289"/>
    <n v="11994"/>
    <x v="3"/>
    <s v="26.9%"/>
    <s v="21.9%"/>
    <s v="No"/>
  </r>
  <r>
    <n v="5"/>
    <x v="4"/>
    <n v="213177"/>
    <n v="13181"/>
    <x v="4"/>
    <s v="17.3%"/>
    <s v="10.7%"/>
    <s v="YES"/>
  </r>
  <r>
    <n v="6"/>
    <x v="5"/>
    <n v="170890"/>
    <n v="-1464"/>
    <x v="5"/>
    <s v="7.2%"/>
    <s v="8.0%"/>
    <s v="No"/>
  </r>
  <r>
    <n v="7"/>
    <x v="6"/>
    <n v="156169"/>
    <n v="-616"/>
    <x v="6"/>
    <s v="15.4%"/>
    <s v="15.8%"/>
    <s v="No"/>
  </r>
  <r>
    <n v="8"/>
    <x v="7"/>
    <n v="134569"/>
    <n v="3520"/>
    <x v="7"/>
    <s v="17.2%"/>
    <s v="14.5%"/>
    <s v="No"/>
  </r>
  <r>
    <n v="9"/>
    <x v="8"/>
    <n v="133743"/>
    <n v="4781"/>
    <x v="8"/>
    <s v="16.4%"/>
    <s v="12.6%"/>
    <s v="YES"/>
  </r>
  <r>
    <n v="10"/>
    <x v="9"/>
    <n v="127108"/>
    <n v="3170"/>
    <x v="9"/>
    <s v="20.4%"/>
    <s v="17.9%"/>
    <s v="Y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9671"/>
    <n v="19140"/>
    <s v="97.3%"/>
    <s v="+2.5%"/>
    <s v="High"/>
    <s v="#1 — Target First"/>
    <s v="CRM Setup $2,000+"/>
    <s v="Lead follow-up &amp; pipeline visibility"/>
  </r>
  <r>
    <x v="1"/>
    <n v="8408"/>
    <n v="8284"/>
    <s v="98.5%"/>
    <s v="+3.7%"/>
    <s v="High"/>
    <s v="#2 — Target Second"/>
    <s v="CRM Setup $2,000+"/>
    <s v="Long sales cycle &amp; lead nurturing"/>
  </r>
  <r>
    <x v="2"/>
    <n v="17033"/>
    <n v="16541"/>
    <s v="97.1%"/>
    <s v="+6.6%"/>
    <s v="Medium"/>
    <s v="#3 — Fastest Growing"/>
    <s v="Automation Package"/>
    <s v="Appointment rebooking &amp; retention"/>
  </r>
  <r>
    <x v="3"/>
    <n v="41811"/>
    <n v="40800"/>
    <s v="97.6%"/>
    <s v="+2.2%"/>
    <s v="Low"/>
    <s v="#4 — Largest Market"/>
    <s v="Starter Audit $600"/>
    <s v="Missed leads while on the j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04FB8-8C88-4449-88F1-06E4B399AFD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C40" firstHeaderRow="0" firstDataRow="1" firstDataCol="1"/>
  <pivotFields count="11">
    <pivotField axis="axisRow" showAll="0">
      <items count="17">
        <item x="11"/>
        <item x="12"/>
        <item x="10"/>
        <item x="13"/>
        <item x="2"/>
        <item x="8"/>
        <item x="5"/>
        <item x="6"/>
        <item x="7"/>
        <item x="15"/>
        <item x="9"/>
        <item x="1"/>
        <item x="0"/>
        <item x="3"/>
        <item x="14"/>
        <item x="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1-19 employee" fld="6" baseField="0" baseItem="0"/>
    <dataField name="Sum of 0-19 employe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3011A-6833-AE42-B23C-628664F58E4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7:C28" firstHeaderRow="1" firstDataRow="1" firstDataCol="1"/>
  <pivotFields count="8">
    <pivotField showAll="0"/>
    <pivotField axis="axisRow" showAll="0" sortType="descending">
      <items count="11">
        <item x="9"/>
        <item x="5"/>
        <item x="0"/>
        <item x="8"/>
        <item x="4"/>
        <item x="7"/>
        <item x="1"/>
        <item x="2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11">
        <item x="6"/>
        <item x="5"/>
        <item x="0"/>
        <item x="1"/>
        <item x="9"/>
        <item x="7"/>
        <item x="2"/>
        <item x="8"/>
        <item x="3"/>
        <item x="4"/>
        <item t="default"/>
      </items>
    </pivotField>
    <pivotField showAll="0"/>
    <pivotField showAll="0"/>
    <pivotField showAll="0"/>
  </pivotFields>
  <rowFields count="1">
    <field x="1"/>
  </rowFields>
  <rowItems count="11">
    <i>
      <x v="2"/>
    </i>
    <i>
      <x v="6"/>
    </i>
    <i>
      <x v="7"/>
    </i>
    <i>
      <x v="9"/>
    </i>
    <i>
      <x v="4"/>
    </i>
    <i>
      <x v="1"/>
    </i>
    <i>
      <x v="8"/>
    </i>
    <i>
      <x v="5"/>
    </i>
    <i>
      <x v="3"/>
    </i>
    <i>
      <x/>
    </i>
    <i t="grand">
      <x/>
    </i>
  </rowItems>
  <colItems count="1">
    <i/>
  </colItems>
  <dataFields count="1">
    <dataField name="Sum of Total Businesses (June 2025)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28A89-03CB-E448-BBB9-32BFD770073A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0:J15" firstHeaderRow="1" firstDataRow="1" firstDataCol="1"/>
  <pivotFields count="9"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mall Businesses (0-19)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2" customWidth="1"/>
    <col min="4" max="4" width="20" customWidth="1"/>
    <col min="5" max="5" width="22" customWidth="1"/>
  </cols>
  <sheetData>
    <row r="1" spans="1:5" ht="18" customHeight="1" x14ac:dyDescent="0.2">
      <c r="A1" s="19" t="s">
        <v>0</v>
      </c>
      <c r="B1" s="20"/>
      <c r="C1" s="20"/>
      <c r="D1" s="20"/>
    </row>
    <row r="2" spans="1:5" ht="6" customHeight="1" x14ac:dyDescent="0.2"/>
    <row r="3" spans="1:5" ht="18" customHeight="1" x14ac:dyDescent="0.2">
      <c r="A3" s="21" t="s">
        <v>1</v>
      </c>
      <c r="B3" s="20"/>
      <c r="C3" s="20"/>
      <c r="D3" s="20"/>
    </row>
    <row r="4" spans="1:5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5" x14ac:dyDescent="0.2">
      <c r="A5" s="2" t="s">
        <v>6</v>
      </c>
      <c r="B5" s="3" t="s">
        <v>7</v>
      </c>
      <c r="C5" s="2" t="s">
        <v>8</v>
      </c>
      <c r="D5" s="2"/>
    </row>
    <row r="6" spans="1:5" x14ac:dyDescent="0.2">
      <c r="A6" s="2" t="s">
        <v>9</v>
      </c>
      <c r="B6" s="3" t="s">
        <v>10</v>
      </c>
      <c r="C6" s="2" t="s">
        <v>11</v>
      </c>
      <c r="D6" s="2" t="s">
        <v>12</v>
      </c>
    </row>
    <row r="7" spans="1:5" x14ac:dyDescent="0.2">
      <c r="A7" s="2" t="s">
        <v>13</v>
      </c>
      <c r="B7" s="4" t="s">
        <v>14</v>
      </c>
      <c r="C7" s="2" t="s">
        <v>15</v>
      </c>
      <c r="D7" s="2"/>
    </row>
    <row r="8" spans="1:5" x14ac:dyDescent="0.2">
      <c r="A8" s="2" t="s">
        <v>16</v>
      </c>
      <c r="B8" s="3" t="s">
        <v>17</v>
      </c>
      <c r="C8" s="2" t="s">
        <v>18</v>
      </c>
      <c r="D8" s="2" t="s">
        <v>19</v>
      </c>
    </row>
    <row r="9" spans="1:5" x14ac:dyDescent="0.2">
      <c r="A9" s="2" t="s">
        <v>20</v>
      </c>
      <c r="B9" s="5" t="s">
        <v>21</v>
      </c>
      <c r="C9" s="2" t="s">
        <v>22</v>
      </c>
      <c r="D9" s="2" t="s">
        <v>23</v>
      </c>
    </row>
    <row r="10" spans="1:5" x14ac:dyDescent="0.2">
      <c r="A10" s="2" t="s">
        <v>24</v>
      </c>
      <c r="B10" s="6" t="s">
        <v>25</v>
      </c>
      <c r="C10" s="2" t="s">
        <v>26</v>
      </c>
      <c r="D10" s="2"/>
    </row>
    <row r="11" spans="1:5" ht="6" customHeight="1" x14ac:dyDescent="0.2"/>
    <row r="12" spans="1:5" ht="18" customHeight="1" x14ac:dyDescent="0.2">
      <c r="A12" s="21" t="s">
        <v>27</v>
      </c>
      <c r="B12" s="20"/>
      <c r="C12" s="20"/>
      <c r="D12" s="20"/>
      <c r="E12" s="20"/>
    </row>
    <row r="13" spans="1:5" ht="28" customHeight="1" x14ac:dyDescent="0.2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</row>
    <row r="14" spans="1:5" x14ac:dyDescent="0.2">
      <c r="A14" s="2" t="s">
        <v>33</v>
      </c>
      <c r="B14" s="2" t="s">
        <v>34</v>
      </c>
      <c r="C14" s="2" t="s">
        <v>35</v>
      </c>
      <c r="D14" s="2" t="s">
        <v>36</v>
      </c>
      <c r="E14" s="3" t="s">
        <v>37</v>
      </c>
    </row>
    <row r="15" spans="1:5" x14ac:dyDescent="0.2">
      <c r="A15" s="2" t="s">
        <v>38</v>
      </c>
      <c r="B15" s="2" t="s">
        <v>39</v>
      </c>
      <c r="C15" s="2" t="s">
        <v>40</v>
      </c>
      <c r="D15" s="2" t="s">
        <v>41</v>
      </c>
      <c r="E15" s="6" t="s">
        <v>42</v>
      </c>
    </row>
    <row r="16" spans="1:5" x14ac:dyDescent="0.2">
      <c r="A16" s="2" t="s">
        <v>43</v>
      </c>
      <c r="B16" s="2" t="s">
        <v>44</v>
      </c>
      <c r="C16" s="2" t="s">
        <v>45</v>
      </c>
      <c r="D16" s="2" t="s">
        <v>46</v>
      </c>
      <c r="E16" s="5" t="s">
        <v>47</v>
      </c>
    </row>
    <row r="17" spans="1:5" x14ac:dyDescent="0.2">
      <c r="A17" s="2" t="s">
        <v>48</v>
      </c>
      <c r="B17" s="2" t="s">
        <v>49</v>
      </c>
      <c r="C17" s="2" t="s">
        <v>50</v>
      </c>
      <c r="D17" s="2" t="s">
        <v>51</v>
      </c>
      <c r="E17" s="4" t="s">
        <v>52</v>
      </c>
    </row>
    <row r="18" spans="1:5" ht="6" customHeight="1" x14ac:dyDescent="0.2"/>
    <row r="19" spans="1:5" ht="14" customHeight="1" x14ac:dyDescent="0.2">
      <c r="A19" s="22" t="s">
        <v>53</v>
      </c>
      <c r="B19" s="20"/>
      <c r="C19" s="20"/>
      <c r="D19" s="20"/>
      <c r="E19" s="20"/>
    </row>
  </sheetData>
  <mergeCells count="4">
    <mergeCell ref="A1:D1"/>
    <mergeCell ref="A12:E12"/>
    <mergeCell ref="A3:D3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workbookViewId="0">
      <selection activeCell="E36" sqref="E36"/>
    </sheetView>
  </sheetViews>
  <sheetFormatPr baseColWidth="10" defaultColWidth="8.83203125" defaultRowHeight="15" x14ac:dyDescent="0.2"/>
  <cols>
    <col min="1" max="1" width="39.6640625" bestFit="1" customWidth="1"/>
    <col min="2" max="3" width="18.5" bestFit="1" customWidth="1"/>
    <col min="4" max="4" width="19.1640625" bestFit="1" customWidth="1"/>
    <col min="5" max="5" width="35.6640625" bestFit="1" customWidth="1"/>
    <col min="6" max="7" width="35.6640625" customWidth="1"/>
    <col min="8" max="8" width="30.1640625" bestFit="1" customWidth="1"/>
    <col min="9" max="9" width="15" bestFit="1" customWidth="1"/>
    <col min="10" max="10" width="33.33203125" bestFit="1" customWidth="1"/>
    <col min="11" max="11" width="20" bestFit="1" customWidth="1"/>
    <col min="12" max="12" width="27.83203125" bestFit="1" customWidth="1"/>
    <col min="13" max="13" width="12" bestFit="1" customWidth="1"/>
    <col min="14" max="14" width="16.5" bestFit="1" customWidth="1"/>
    <col min="15" max="15" width="41.1640625" bestFit="1" customWidth="1"/>
    <col min="16" max="16" width="29.1640625" bestFit="1" customWidth="1"/>
    <col min="17" max="17" width="31.83203125" bestFit="1" customWidth="1"/>
    <col min="18" max="18" width="25.33203125" bestFit="1" customWidth="1"/>
    <col min="19" max="19" width="18.6640625" bestFit="1" customWidth="1"/>
    <col min="20" max="20" width="10" bestFit="1" customWidth="1"/>
  </cols>
  <sheetData>
    <row r="1" spans="1:11" ht="18" customHeight="1" x14ac:dyDescent="0.2">
      <c r="A1" s="19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6" customHeight="1" x14ac:dyDescent="0.2"/>
    <row r="3" spans="1:11" ht="28" customHeight="1" x14ac:dyDescent="0.2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332</v>
      </c>
      <c r="G3" s="1" t="s">
        <v>333</v>
      </c>
      <c r="H3" s="1" t="s">
        <v>60</v>
      </c>
      <c r="I3" s="1" t="s">
        <v>61</v>
      </c>
      <c r="J3" s="1" t="s">
        <v>30</v>
      </c>
      <c r="K3" s="1" t="s">
        <v>62</v>
      </c>
    </row>
    <row r="4" spans="1:11" x14ac:dyDescent="0.2">
      <c r="A4" s="2" t="s">
        <v>63</v>
      </c>
      <c r="B4" s="2">
        <v>16992</v>
      </c>
      <c r="C4" s="2">
        <v>725</v>
      </c>
      <c r="D4" s="2">
        <v>180</v>
      </c>
      <c r="E4" s="2">
        <v>28</v>
      </c>
      <c r="F4" s="2">
        <f>SUM(B4:D4)</f>
        <v>17897</v>
      </c>
      <c r="G4" s="2">
        <f>SUM(C4:D4)</f>
        <v>905</v>
      </c>
      <c r="H4" s="2">
        <v>0</v>
      </c>
      <c r="I4" s="2">
        <v>17925</v>
      </c>
      <c r="J4" s="2" t="s">
        <v>64</v>
      </c>
      <c r="K4" s="2" t="s">
        <v>65</v>
      </c>
    </row>
    <row r="5" spans="1:11" x14ac:dyDescent="0.2">
      <c r="A5" s="2" t="s">
        <v>66</v>
      </c>
      <c r="B5" s="2">
        <v>6006</v>
      </c>
      <c r="C5" s="2">
        <v>2740</v>
      </c>
      <c r="D5" s="2">
        <v>499</v>
      </c>
      <c r="E5" s="2">
        <v>182</v>
      </c>
      <c r="F5" s="2">
        <f t="shared" ref="F5:F19" si="0">SUM(B5:D5)</f>
        <v>9245</v>
      </c>
      <c r="G5" s="2">
        <f t="shared" ref="G5:G19" si="1">SUM(C5:D5)</f>
        <v>3239</v>
      </c>
      <c r="H5" s="2">
        <v>6</v>
      </c>
      <c r="I5" s="2">
        <v>9433</v>
      </c>
      <c r="J5" s="2" t="s">
        <v>67</v>
      </c>
      <c r="K5" s="2" t="s">
        <v>65</v>
      </c>
    </row>
    <row r="6" spans="1:11" x14ac:dyDescent="0.2">
      <c r="A6" s="2" t="s">
        <v>68</v>
      </c>
      <c r="B6" s="2">
        <v>8572</v>
      </c>
      <c r="C6" s="2">
        <v>381</v>
      </c>
      <c r="D6" s="2">
        <v>60</v>
      </c>
      <c r="E6" s="2">
        <v>22</v>
      </c>
      <c r="F6" s="2">
        <f t="shared" si="0"/>
        <v>9013</v>
      </c>
      <c r="G6" s="2">
        <f t="shared" si="1"/>
        <v>441</v>
      </c>
      <c r="H6" s="2">
        <v>0</v>
      </c>
      <c r="I6" s="2">
        <v>9035</v>
      </c>
      <c r="J6" s="2" t="s">
        <v>64</v>
      </c>
      <c r="K6" s="2" t="s">
        <v>65</v>
      </c>
    </row>
    <row r="7" spans="1:11" x14ac:dyDescent="0.2">
      <c r="A7" s="2" t="s">
        <v>69</v>
      </c>
      <c r="B7" s="2">
        <v>7286</v>
      </c>
      <c r="C7" s="2">
        <v>95</v>
      </c>
      <c r="D7" s="2">
        <v>19</v>
      </c>
      <c r="E7" s="2">
        <v>3</v>
      </c>
      <c r="F7" s="2">
        <f t="shared" si="0"/>
        <v>7400</v>
      </c>
      <c r="G7" s="2">
        <f t="shared" si="1"/>
        <v>114</v>
      </c>
      <c r="H7" s="2">
        <v>0</v>
      </c>
      <c r="I7" s="2">
        <v>7403</v>
      </c>
      <c r="J7" s="2" t="s">
        <v>70</v>
      </c>
      <c r="K7" s="2" t="s">
        <v>65</v>
      </c>
    </row>
    <row r="8" spans="1:11" x14ac:dyDescent="0.2">
      <c r="A8" s="2" t="s">
        <v>71</v>
      </c>
      <c r="B8" s="2">
        <v>4910</v>
      </c>
      <c r="C8" s="2">
        <v>1700</v>
      </c>
      <c r="D8" s="2">
        <v>391</v>
      </c>
      <c r="E8" s="2">
        <v>132</v>
      </c>
      <c r="F8" s="2">
        <f t="shared" si="0"/>
        <v>7001</v>
      </c>
      <c r="G8" s="2">
        <f t="shared" si="1"/>
        <v>2091</v>
      </c>
      <c r="H8" s="2">
        <v>10</v>
      </c>
      <c r="I8" s="2">
        <v>7143</v>
      </c>
      <c r="J8" s="2" t="s">
        <v>67</v>
      </c>
      <c r="K8" s="2" t="s">
        <v>65</v>
      </c>
    </row>
    <row r="9" spans="1:11" x14ac:dyDescent="0.2">
      <c r="A9" s="2" t="s">
        <v>72</v>
      </c>
      <c r="B9" s="2">
        <v>3681</v>
      </c>
      <c r="C9" s="2">
        <v>2516</v>
      </c>
      <c r="D9" s="2">
        <v>494</v>
      </c>
      <c r="E9" s="2">
        <v>228</v>
      </c>
      <c r="F9" s="2">
        <f t="shared" si="0"/>
        <v>6691</v>
      </c>
      <c r="G9" s="2">
        <f t="shared" si="1"/>
        <v>3010</v>
      </c>
      <c r="H9" s="2">
        <v>17</v>
      </c>
      <c r="I9" s="2">
        <v>6936</v>
      </c>
      <c r="J9" s="2" t="s">
        <v>73</v>
      </c>
      <c r="K9" s="2" t="s">
        <v>65</v>
      </c>
    </row>
    <row r="10" spans="1:11" x14ac:dyDescent="0.2">
      <c r="A10" s="2" t="s">
        <v>74</v>
      </c>
      <c r="B10" s="2">
        <v>5100</v>
      </c>
      <c r="C10" s="2">
        <v>925</v>
      </c>
      <c r="D10" s="2">
        <v>251</v>
      </c>
      <c r="E10" s="2">
        <v>78</v>
      </c>
      <c r="F10" s="2">
        <f t="shared" si="0"/>
        <v>6276</v>
      </c>
      <c r="G10" s="2">
        <f t="shared" si="1"/>
        <v>1176</v>
      </c>
      <c r="H10" s="2">
        <v>3</v>
      </c>
      <c r="I10" s="2">
        <v>6356</v>
      </c>
      <c r="J10" s="2" t="s">
        <v>75</v>
      </c>
      <c r="K10" s="2" t="s">
        <v>65</v>
      </c>
    </row>
    <row r="11" spans="1:11" x14ac:dyDescent="0.2">
      <c r="A11" s="2" t="s">
        <v>76</v>
      </c>
      <c r="B11" s="2">
        <v>3727</v>
      </c>
      <c r="C11" s="2">
        <v>1088</v>
      </c>
      <c r="D11" s="2">
        <v>433</v>
      </c>
      <c r="E11" s="2">
        <v>69</v>
      </c>
      <c r="F11" s="2">
        <f t="shared" si="0"/>
        <v>5248</v>
      </c>
      <c r="G11" s="2">
        <f t="shared" si="1"/>
        <v>1521</v>
      </c>
      <c r="H11" s="2">
        <v>0</v>
      </c>
      <c r="I11" s="2">
        <v>5318</v>
      </c>
      <c r="J11" s="2" t="s">
        <v>75</v>
      </c>
      <c r="K11" s="2" t="s">
        <v>65</v>
      </c>
    </row>
    <row r="12" spans="1:11" x14ac:dyDescent="0.2">
      <c r="A12" s="2" t="s">
        <v>77</v>
      </c>
      <c r="B12" s="2">
        <v>2246</v>
      </c>
      <c r="C12" s="2">
        <v>1922</v>
      </c>
      <c r="D12" s="2">
        <v>531</v>
      </c>
      <c r="E12" s="2">
        <v>134</v>
      </c>
      <c r="F12" s="2">
        <f t="shared" si="0"/>
        <v>4699</v>
      </c>
      <c r="G12" s="2">
        <f t="shared" si="1"/>
        <v>2453</v>
      </c>
      <c r="H12" s="2">
        <v>6</v>
      </c>
      <c r="I12" s="2">
        <v>4839</v>
      </c>
      <c r="J12" s="2" t="s">
        <v>45</v>
      </c>
      <c r="K12" s="2" t="s">
        <v>65</v>
      </c>
    </row>
    <row r="13" spans="1:11" x14ac:dyDescent="0.2">
      <c r="A13" s="2" t="s">
        <v>78</v>
      </c>
      <c r="B13" s="2">
        <v>3022</v>
      </c>
      <c r="C13" s="2">
        <v>1445</v>
      </c>
      <c r="D13" s="2">
        <v>278</v>
      </c>
      <c r="E13" s="2">
        <v>69</v>
      </c>
      <c r="F13" s="2">
        <f t="shared" si="0"/>
        <v>4745</v>
      </c>
      <c r="G13" s="2">
        <f t="shared" si="1"/>
        <v>1723</v>
      </c>
      <c r="H13" s="2">
        <v>6</v>
      </c>
      <c r="I13" s="2">
        <v>4820</v>
      </c>
      <c r="J13" s="2" t="s">
        <v>79</v>
      </c>
      <c r="K13" s="2" t="s">
        <v>65</v>
      </c>
    </row>
    <row r="14" spans="1:11" x14ac:dyDescent="0.2">
      <c r="A14" s="2" t="s">
        <v>80</v>
      </c>
      <c r="B14" s="2">
        <v>3208</v>
      </c>
      <c r="C14" s="2">
        <v>1305</v>
      </c>
      <c r="D14" s="2">
        <v>214</v>
      </c>
      <c r="E14" s="2">
        <v>36</v>
      </c>
      <c r="F14" s="2">
        <f t="shared" si="0"/>
        <v>4727</v>
      </c>
      <c r="G14" s="2">
        <f t="shared" si="1"/>
        <v>1519</v>
      </c>
      <c r="H14" s="2">
        <v>0</v>
      </c>
      <c r="I14" s="2">
        <v>4765</v>
      </c>
      <c r="J14" s="2" t="s">
        <v>81</v>
      </c>
      <c r="K14" s="2" t="s">
        <v>65</v>
      </c>
    </row>
    <row r="15" spans="1:11" x14ac:dyDescent="0.2">
      <c r="A15" s="2" t="s">
        <v>82</v>
      </c>
      <c r="B15" s="2">
        <v>3310</v>
      </c>
      <c r="C15" s="2">
        <v>818</v>
      </c>
      <c r="D15" s="2">
        <v>279</v>
      </c>
      <c r="E15" s="2">
        <v>102</v>
      </c>
      <c r="F15" s="2">
        <f t="shared" si="0"/>
        <v>4407</v>
      </c>
      <c r="G15" s="2">
        <f t="shared" si="1"/>
        <v>1097</v>
      </c>
      <c r="H15" s="2">
        <v>6</v>
      </c>
      <c r="I15" s="2">
        <v>4515</v>
      </c>
      <c r="J15" s="2" t="s">
        <v>50</v>
      </c>
      <c r="K15" s="2" t="s">
        <v>65</v>
      </c>
    </row>
    <row r="16" spans="1:11" x14ac:dyDescent="0.2">
      <c r="A16" s="2" t="s">
        <v>83</v>
      </c>
      <c r="B16" s="2">
        <v>957</v>
      </c>
      <c r="C16" s="2">
        <v>1377</v>
      </c>
      <c r="D16" s="2">
        <v>1616</v>
      </c>
      <c r="E16" s="2">
        <v>509</v>
      </c>
      <c r="F16" s="2">
        <f t="shared" si="0"/>
        <v>3950</v>
      </c>
      <c r="G16" s="2">
        <f t="shared" si="1"/>
        <v>2993</v>
      </c>
      <c r="H16" s="2">
        <v>8</v>
      </c>
      <c r="I16" s="2">
        <v>4467</v>
      </c>
      <c r="J16" s="2" t="s">
        <v>84</v>
      </c>
      <c r="K16" s="2" t="s">
        <v>65</v>
      </c>
    </row>
    <row r="17" spans="1:11" x14ac:dyDescent="0.2">
      <c r="A17" s="2" t="s">
        <v>85</v>
      </c>
      <c r="B17" s="2">
        <v>2648</v>
      </c>
      <c r="C17" s="2">
        <v>1368</v>
      </c>
      <c r="D17" s="2">
        <v>311</v>
      </c>
      <c r="E17" s="2">
        <v>86</v>
      </c>
      <c r="F17" s="2">
        <f t="shared" si="0"/>
        <v>4327</v>
      </c>
      <c r="G17" s="2">
        <f t="shared" si="1"/>
        <v>1679</v>
      </c>
      <c r="H17" s="2">
        <v>4</v>
      </c>
      <c r="I17" s="2">
        <v>4417</v>
      </c>
      <c r="J17" s="2" t="s">
        <v>67</v>
      </c>
      <c r="K17" s="2" t="s">
        <v>65</v>
      </c>
    </row>
    <row r="18" spans="1:11" x14ac:dyDescent="0.2">
      <c r="A18" s="2" t="s">
        <v>86</v>
      </c>
      <c r="B18" s="2">
        <v>4041</v>
      </c>
      <c r="C18" s="2">
        <v>298</v>
      </c>
      <c r="D18" s="2">
        <v>61</v>
      </c>
      <c r="E18" s="2">
        <v>9</v>
      </c>
      <c r="F18" s="2">
        <f t="shared" si="0"/>
        <v>4400</v>
      </c>
      <c r="G18" s="2">
        <f t="shared" si="1"/>
        <v>359</v>
      </c>
      <c r="H18" s="2">
        <v>3</v>
      </c>
      <c r="I18" s="2">
        <v>4411</v>
      </c>
      <c r="J18" s="2" t="s">
        <v>64</v>
      </c>
      <c r="K18" s="2" t="s">
        <v>65</v>
      </c>
    </row>
    <row r="19" spans="1:11" x14ac:dyDescent="0.2">
      <c r="A19" s="8" t="s">
        <v>87</v>
      </c>
      <c r="B19" s="8">
        <v>75706</v>
      </c>
      <c r="C19" s="8">
        <v>18703</v>
      </c>
      <c r="D19" s="8">
        <v>5617</v>
      </c>
      <c r="E19" s="8">
        <v>1687</v>
      </c>
      <c r="F19" s="2">
        <f t="shared" si="0"/>
        <v>100026</v>
      </c>
      <c r="G19" s="2">
        <f t="shared" si="1"/>
        <v>24320</v>
      </c>
      <c r="H19" s="8">
        <v>69</v>
      </c>
      <c r="I19" s="8">
        <v>101783</v>
      </c>
      <c r="J19" s="8"/>
      <c r="K19" s="8"/>
    </row>
    <row r="20" spans="1:11" ht="6" customHeight="1" x14ac:dyDescent="0.2"/>
    <row r="21" spans="1:11" ht="14" customHeight="1" x14ac:dyDescent="0.2">
      <c r="A21" s="22" t="s">
        <v>88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3" spans="1:11" x14ac:dyDescent="0.2">
      <c r="A23" s="25" t="s">
        <v>330</v>
      </c>
      <c r="B23" t="s">
        <v>335</v>
      </c>
      <c r="C23" t="s">
        <v>334</v>
      </c>
    </row>
    <row r="24" spans="1:11" x14ac:dyDescent="0.2">
      <c r="A24" s="26" t="s">
        <v>82</v>
      </c>
      <c r="B24" s="24">
        <v>1097</v>
      </c>
      <c r="C24" s="24">
        <v>4407</v>
      </c>
    </row>
    <row r="25" spans="1:11" x14ac:dyDescent="0.2">
      <c r="A25" s="26" t="s">
        <v>83</v>
      </c>
      <c r="B25" s="24">
        <v>2993</v>
      </c>
      <c r="C25" s="24">
        <v>3950</v>
      </c>
    </row>
    <row r="26" spans="1:11" x14ac:dyDescent="0.2">
      <c r="A26" s="26" t="s">
        <v>80</v>
      </c>
      <c r="B26" s="24">
        <v>1519</v>
      </c>
      <c r="C26" s="24">
        <v>4727</v>
      </c>
    </row>
    <row r="27" spans="1:11" x14ac:dyDescent="0.2">
      <c r="A27" s="26" t="s">
        <v>85</v>
      </c>
      <c r="B27" s="24">
        <v>1679</v>
      </c>
      <c r="C27" s="24">
        <v>4327</v>
      </c>
    </row>
    <row r="28" spans="1:11" x14ac:dyDescent="0.2">
      <c r="A28" s="26" t="s">
        <v>68</v>
      </c>
      <c r="B28" s="24">
        <v>441</v>
      </c>
      <c r="C28" s="24">
        <v>9013</v>
      </c>
    </row>
    <row r="29" spans="1:11" x14ac:dyDescent="0.2">
      <c r="A29" s="26" t="s">
        <v>77</v>
      </c>
      <c r="B29" s="24">
        <v>2453</v>
      </c>
      <c r="C29" s="24">
        <v>4699</v>
      </c>
    </row>
    <row r="30" spans="1:11" x14ac:dyDescent="0.2">
      <c r="A30" s="26" t="s">
        <v>72</v>
      </c>
      <c r="B30" s="24">
        <v>3010</v>
      </c>
      <c r="C30" s="24">
        <v>6691</v>
      </c>
    </row>
    <row r="31" spans="1:11" x14ac:dyDescent="0.2">
      <c r="A31" s="26" t="s">
        <v>74</v>
      </c>
      <c r="B31" s="24">
        <v>1176</v>
      </c>
      <c r="C31" s="24">
        <v>6276</v>
      </c>
    </row>
    <row r="32" spans="1:11" x14ac:dyDescent="0.2">
      <c r="A32" s="26" t="s">
        <v>76</v>
      </c>
      <c r="B32" s="24">
        <v>1521</v>
      </c>
      <c r="C32" s="24">
        <v>5248</v>
      </c>
    </row>
    <row r="33" spans="1:3" x14ac:dyDescent="0.2">
      <c r="A33" s="26" t="s">
        <v>87</v>
      </c>
      <c r="B33" s="24">
        <v>24320</v>
      </c>
      <c r="C33" s="24">
        <v>100026</v>
      </c>
    </row>
    <row r="34" spans="1:3" x14ac:dyDescent="0.2">
      <c r="A34" s="26" t="s">
        <v>78</v>
      </c>
      <c r="B34" s="24">
        <v>1723</v>
      </c>
      <c r="C34" s="24">
        <v>4745</v>
      </c>
    </row>
    <row r="35" spans="1:3" x14ac:dyDescent="0.2">
      <c r="A35" s="26" t="s">
        <v>66</v>
      </c>
      <c r="B35" s="24">
        <v>3239</v>
      </c>
      <c r="C35" s="24">
        <v>9245</v>
      </c>
    </row>
    <row r="36" spans="1:3" x14ac:dyDescent="0.2">
      <c r="A36" s="26" t="s">
        <v>63</v>
      </c>
      <c r="B36" s="24">
        <v>905</v>
      </c>
      <c r="C36" s="24">
        <v>17897</v>
      </c>
    </row>
    <row r="37" spans="1:3" x14ac:dyDescent="0.2">
      <c r="A37" s="26" t="s">
        <v>69</v>
      </c>
      <c r="B37" s="24">
        <v>114</v>
      </c>
      <c r="C37" s="24">
        <v>7400</v>
      </c>
    </row>
    <row r="38" spans="1:3" x14ac:dyDescent="0.2">
      <c r="A38" s="26" t="s">
        <v>86</v>
      </c>
      <c r="B38" s="24">
        <v>359</v>
      </c>
      <c r="C38" s="24">
        <v>4400</v>
      </c>
    </row>
    <row r="39" spans="1:3" x14ac:dyDescent="0.2">
      <c r="A39" s="26" t="s">
        <v>71</v>
      </c>
      <c r="B39" s="24">
        <v>2091</v>
      </c>
      <c r="C39" s="24">
        <v>7001</v>
      </c>
    </row>
    <row r="40" spans="1:3" x14ac:dyDescent="0.2">
      <c r="A40" s="26" t="s">
        <v>331</v>
      </c>
      <c r="B40" s="24">
        <v>48640</v>
      </c>
      <c r="C40" s="24">
        <v>200052</v>
      </c>
    </row>
  </sheetData>
  <mergeCells count="2">
    <mergeCell ref="A1:K1"/>
    <mergeCell ref="A21:K21"/>
  </mergeCells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6" customWidth="1"/>
    <col min="2" max="2" width="34.33203125" bestFit="1" customWidth="1"/>
    <col min="3" max="3" width="28.83203125" bestFit="1" customWidth="1"/>
    <col min="4" max="4" width="15" customWidth="1"/>
    <col min="5" max="5" width="11" customWidth="1"/>
    <col min="6" max="6" width="13" customWidth="1"/>
    <col min="7" max="7" width="12" customWidth="1"/>
    <col min="8" max="8" width="18" customWidth="1"/>
  </cols>
  <sheetData>
    <row r="1" spans="1:8" ht="18" customHeight="1" x14ac:dyDescent="0.2">
      <c r="A1" s="19" t="s">
        <v>89</v>
      </c>
      <c r="B1" s="20"/>
      <c r="C1" s="20"/>
      <c r="D1" s="20"/>
      <c r="E1" s="20"/>
      <c r="F1" s="20"/>
      <c r="G1" s="20"/>
      <c r="H1" s="20"/>
    </row>
    <row r="2" spans="1:8" ht="6" customHeight="1" x14ac:dyDescent="0.2"/>
    <row r="3" spans="1:8" ht="28" customHeight="1" x14ac:dyDescent="0.2">
      <c r="A3" s="1" t="s">
        <v>90</v>
      </c>
      <c r="B3" s="1" t="s">
        <v>55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  <c r="H3" s="1" t="s">
        <v>62</v>
      </c>
    </row>
    <row r="4" spans="1:8" x14ac:dyDescent="0.2">
      <c r="A4" s="2">
        <v>1</v>
      </c>
      <c r="B4" s="2" t="s">
        <v>96</v>
      </c>
      <c r="C4" s="2">
        <v>462939</v>
      </c>
      <c r="D4" s="2">
        <v>10002</v>
      </c>
      <c r="E4" s="2" t="s">
        <v>97</v>
      </c>
      <c r="F4" s="2" t="s">
        <v>98</v>
      </c>
      <c r="G4" s="2" t="s">
        <v>99</v>
      </c>
      <c r="H4" s="3" t="s">
        <v>100</v>
      </c>
    </row>
    <row r="5" spans="1:8" x14ac:dyDescent="0.2">
      <c r="A5" s="2">
        <v>2</v>
      </c>
      <c r="B5" s="2" t="s">
        <v>101</v>
      </c>
      <c r="C5" s="2">
        <v>353261</v>
      </c>
      <c r="D5" s="2">
        <v>8677</v>
      </c>
      <c r="E5" s="2" t="s">
        <v>102</v>
      </c>
      <c r="F5" s="2" t="s">
        <v>103</v>
      </c>
      <c r="G5" s="2" t="s">
        <v>104</v>
      </c>
      <c r="H5" s="3" t="s">
        <v>100</v>
      </c>
    </row>
    <row r="6" spans="1:8" x14ac:dyDescent="0.2">
      <c r="A6" s="2">
        <v>3</v>
      </c>
      <c r="B6" s="2" t="s">
        <v>105</v>
      </c>
      <c r="C6" s="2">
        <v>308127</v>
      </c>
      <c r="D6" s="2">
        <v>9261</v>
      </c>
      <c r="E6" s="2" t="s">
        <v>106</v>
      </c>
      <c r="F6" s="2" t="s">
        <v>107</v>
      </c>
      <c r="G6" s="2" t="s">
        <v>108</v>
      </c>
      <c r="H6" s="3" t="s">
        <v>100</v>
      </c>
    </row>
    <row r="7" spans="1:8" x14ac:dyDescent="0.2">
      <c r="A7" s="2">
        <v>4</v>
      </c>
      <c r="B7" s="2" t="s">
        <v>109</v>
      </c>
      <c r="C7" s="2">
        <v>249289</v>
      </c>
      <c r="D7" s="2">
        <v>11994</v>
      </c>
      <c r="E7" s="2" t="s">
        <v>110</v>
      </c>
      <c r="F7" s="2" t="s">
        <v>111</v>
      </c>
      <c r="G7" s="2" t="s">
        <v>112</v>
      </c>
      <c r="H7" s="2" t="s">
        <v>65</v>
      </c>
    </row>
    <row r="8" spans="1:8" x14ac:dyDescent="0.2">
      <c r="A8" s="2">
        <v>5</v>
      </c>
      <c r="B8" s="2" t="s">
        <v>113</v>
      </c>
      <c r="C8" s="2">
        <v>213177</v>
      </c>
      <c r="D8" s="2">
        <v>13181</v>
      </c>
      <c r="E8" s="2" t="s">
        <v>114</v>
      </c>
      <c r="F8" s="2" t="s">
        <v>115</v>
      </c>
      <c r="G8" s="2" t="s">
        <v>116</v>
      </c>
      <c r="H8" s="3" t="s">
        <v>100</v>
      </c>
    </row>
    <row r="9" spans="1:8" x14ac:dyDescent="0.2">
      <c r="A9" s="2">
        <v>6</v>
      </c>
      <c r="B9" s="2" t="s">
        <v>117</v>
      </c>
      <c r="C9" s="2">
        <v>170890</v>
      </c>
      <c r="D9" s="2">
        <v>-1464</v>
      </c>
      <c r="E9" s="2" t="s">
        <v>118</v>
      </c>
      <c r="F9" s="2" t="s">
        <v>119</v>
      </c>
      <c r="G9" s="2" t="s">
        <v>120</v>
      </c>
      <c r="H9" s="2" t="s">
        <v>65</v>
      </c>
    </row>
    <row r="10" spans="1:8" x14ac:dyDescent="0.2">
      <c r="A10" s="2">
        <v>7</v>
      </c>
      <c r="B10" s="2" t="s">
        <v>121</v>
      </c>
      <c r="C10" s="2">
        <v>156169</v>
      </c>
      <c r="D10" s="2">
        <v>-616</v>
      </c>
      <c r="E10" s="2" t="s">
        <v>122</v>
      </c>
      <c r="F10" s="2" t="s">
        <v>123</v>
      </c>
      <c r="G10" s="2" t="s">
        <v>124</v>
      </c>
      <c r="H10" s="2" t="s">
        <v>65</v>
      </c>
    </row>
    <row r="11" spans="1:8" x14ac:dyDescent="0.2">
      <c r="A11" s="2">
        <v>8</v>
      </c>
      <c r="B11" s="2" t="s">
        <v>125</v>
      </c>
      <c r="C11" s="2">
        <v>134569</v>
      </c>
      <c r="D11" s="2">
        <v>3520</v>
      </c>
      <c r="E11" s="2" t="s">
        <v>126</v>
      </c>
      <c r="F11" s="2" t="s">
        <v>127</v>
      </c>
      <c r="G11" s="2" t="s">
        <v>128</v>
      </c>
      <c r="H11" s="2" t="s">
        <v>65</v>
      </c>
    </row>
    <row r="12" spans="1:8" x14ac:dyDescent="0.2">
      <c r="A12" s="2">
        <v>9</v>
      </c>
      <c r="B12" s="2" t="s">
        <v>129</v>
      </c>
      <c r="C12" s="2">
        <v>133743</v>
      </c>
      <c r="D12" s="2">
        <v>4781</v>
      </c>
      <c r="E12" s="2" t="s">
        <v>130</v>
      </c>
      <c r="F12" s="2" t="s">
        <v>131</v>
      </c>
      <c r="G12" s="2" t="s">
        <v>132</v>
      </c>
      <c r="H12" s="3" t="s">
        <v>100</v>
      </c>
    </row>
    <row r="13" spans="1:8" x14ac:dyDescent="0.2">
      <c r="A13" s="2">
        <v>10</v>
      </c>
      <c r="B13" s="2" t="s">
        <v>133</v>
      </c>
      <c r="C13" s="2">
        <v>127108</v>
      </c>
      <c r="D13" s="2">
        <v>3170</v>
      </c>
      <c r="E13" s="2" t="s">
        <v>134</v>
      </c>
      <c r="F13" s="2" t="s">
        <v>135</v>
      </c>
      <c r="G13" s="2" t="s">
        <v>136</v>
      </c>
      <c r="H13" s="3" t="s">
        <v>100</v>
      </c>
    </row>
    <row r="14" spans="1:8" ht="6" customHeight="1" x14ac:dyDescent="0.2"/>
    <row r="15" spans="1:8" ht="14" customHeight="1" x14ac:dyDescent="0.2">
      <c r="A15" s="22" t="s">
        <v>137</v>
      </c>
      <c r="B15" s="20"/>
      <c r="C15" s="20"/>
      <c r="D15" s="20"/>
      <c r="E15" s="20"/>
      <c r="F15" s="20"/>
      <c r="G15" s="20"/>
      <c r="H15" s="20"/>
    </row>
    <row r="17" spans="2:3" x14ac:dyDescent="0.2">
      <c r="B17" s="25" t="s">
        <v>330</v>
      </c>
      <c r="C17" t="s">
        <v>336</v>
      </c>
    </row>
    <row r="18" spans="2:3" x14ac:dyDescent="0.2">
      <c r="B18" s="26" t="s">
        <v>96</v>
      </c>
      <c r="C18" s="24">
        <v>462939</v>
      </c>
    </row>
    <row r="19" spans="2:3" x14ac:dyDescent="0.2">
      <c r="B19" s="26" t="s">
        <v>101</v>
      </c>
      <c r="C19" s="24">
        <v>353261</v>
      </c>
    </row>
    <row r="20" spans="2:3" x14ac:dyDescent="0.2">
      <c r="B20" s="26" t="s">
        <v>105</v>
      </c>
      <c r="C20" s="24">
        <v>308127</v>
      </c>
    </row>
    <row r="21" spans="2:3" x14ac:dyDescent="0.2">
      <c r="B21" s="26" t="s">
        <v>109</v>
      </c>
      <c r="C21" s="24">
        <v>249289</v>
      </c>
    </row>
    <row r="22" spans="2:3" x14ac:dyDescent="0.2">
      <c r="B22" s="26" t="s">
        <v>113</v>
      </c>
      <c r="C22" s="24">
        <v>213177</v>
      </c>
    </row>
    <row r="23" spans="2:3" x14ac:dyDescent="0.2">
      <c r="B23" s="26" t="s">
        <v>117</v>
      </c>
      <c r="C23" s="24">
        <v>170890</v>
      </c>
    </row>
    <row r="24" spans="2:3" x14ac:dyDescent="0.2">
      <c r="B24" s="26" t="s">
        <v>121</v>
      </c>
      <c r="C24" s="24">
        <v>156169</v>
      </c>
    </row>
    <row r="25" spans="2:3" x14ac:dyDescent="0.2">
      <c r="B25" s="26" t="s">
        <v>125</v>
      </c>
      <c r="C25" s="24">
        <v>134569</v>
      </c>
    </row>
    <row r="26" spans="2:3" x14ac:dyDescent="0.2">
      <c r="B26" s="26" t="s">
        <v>129</v>
      </c>
      <c r="C26" s="24">
        <v>133743</v>
      </c>
    </row>
    <row r="27" spans="2:3" x14ac:dyDescent="0.2">
      <c r="B27" s="26" t="s">
        <v>133</v>
      </c>
      <c r="C27" s="24">
        <v>127108</v>
      </c>
    </row>
    <row r="28" spans="2:3" x14ac:dyDescent="0.2">
      <c r="B28" s="26" t="s">
        <v>331</v>
      </c>
      <c r="C28" s="24">
        <v>2309272</v>
      </c>
    </row>
  </sheetData>
  <mergeCells count="2">
    <mergeCell ref="A15:H15"/>
    <mergeCell ref="A1:H1"/>
  </mergeCell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activeCell="I10" sqref="I10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24" customWidth="1"/>
    <col min="4" max="5" width="14" customWidth="1"/>
    <col min="6" max="6" width="16" customWidth="1"/>
    <col min="7" max="7" width="20" customWidth="1"/>
    <col min="8" max="8" width="22" customWidth="1"/>
    <col min="9" max="9" width="18.1640625" bestFit="1" customWidth="1"/>
    <col min="10" max="10" width="24.5" bestFit="1" customWidth="1"/>
  </cols>
  <sheetData>
    <row r="1" spans="1:10" ht="18" customHeight="1" x14ac:dyDescent="0.2">
      <c r="A1" s="19" t="s">
        <v>138</v>
      </c>
      <c r="B1" s="20"/>
      <c r="C1" s="20"/>
      <c r="D1" s="20"/>
      <c r="E1" s="20"/>
      <c r="F1" s="20"/>
      <c r="G1" s="20"/>
      <c r="H1" s="20"/>
      <c r="I1" s="20"/>
    </row>
    <row r="2" spans="1:10" ht="6" customHeight="1" x14ac:dyDescent="0.2"/>
    <row r="3" spans="1:10" ht="28" customHeight="1" x14ac:dyDescent="0.2">
      <c r="A3" s="1" t="s">
        <v>28</v>
      </c>
      <c r="B3" s="1" t="s">
        <v>29</v>
      </c>
      <c r="C3" s="1" t="s">
        <v>139</v>
      </c>
      <c r="D3" s="1" t="s">
        <v>30</v>
      </c>
      <c r="E3" s="1" t="s">
        <v>31</v>
      </c>
      <c r="F3" s="1" t="s">
        <v>140</v>
      </c>
      <c r="G3" s="1" t="s">
        <v>32</v>
      </c>
      <c r="H3" s="1" t="s">
        <v>141</v>
      </c>
      <c r="I3" s="1" t="s">
        <v>142</v>
      </c>
    </row>
    <row r="4" spans="1:10" ht="32" customHeight="1" x14ac:dyDescent="0.2">
      <c r="A4" s="9" t="s">
        <v>33</v>
      </c>
      <c r="B4" s="9">
        <v>19671</v>
      </c>
      <c r="C4" s="9">
        <v>19140</v>
      </c>
      <c r="D4" s="9" t="s">
        <v>35</v>
      </c>
      <c r="E4" s="9" t="s">
        <v>36</v>
      </c>
      <c r="F4" s="10" t="s">
        <v>143</v>
      </c>
      <c r="G4" s="10" t="s">
        <v>37</v>
      </c>
      <c r="H4" s="10" t="s">
        <v>144</v>
      </c>
      <c r="I4" s="9" t="s">
        <v>145</v>
      </c>
    </row>
    <row r="5" spans="1:10" ht="32" customHeight="1" x14ac:dyDescent="0.2">
      <c r="A5" s="9" t="s">
        <v>146</v>
      </c>
      <c r="B5" s="9">
        <v>8408</v>
      </c>
      <c r="C5" s="9">
        <v>8284</v>
      </c>
      <c r="D5" s="9" t="s">
        <v>40</v>
      </c>
      <c r="E5" s="9" t="s">
        <v>41</v>
      </c>
      <c r="F5" s="10" t="s">
        <v>143</v>
      </c>
      <c r="G5" s="11" t="s">
        <v>42</v>
      </c>
      <c r="H5" s="11" t="s">
        <v>144</v>
      </c>
      <c r="I5" s="9" t="s">
        <v>147</v>
      </c>
    </row>
    <row r="6" spans="1:10" ht="32" customHeight="1" x14ac:dyDescent="0.2">
      <c r="A6" s="9" t="s">
        <v>43</v>
      </c>
      <c r="B6" s="9">
        <v>17033</v>
      </c>
      <c r="C6" s="9">
        <v>16541</v>
      </c>
      <c r="D6" s="9" t="s">
        <v>45</v>
      </c>
      <c r="E6" s="9" t="s">
        <v>46</v>
      </c>
      <c r="F6" s="12" t="s">
        <v>148</v>
      </c>
      <c r="G6" s="12" t="s">
        <v>47</v>
      </c>
      <c r="H6" s="12" t="s">
        <v>149</v>
      </c>
      <c r="I6" s="9" t="s">
        <v>150</v>
      </c>
    </row>
    <row r="7" spans="1:10" ht="32" customHeight="1" x14ac:dyDescent="0.2">
      <c r="A7" s="9" t="s">
        <v>48</v>
      </c>
      <c r="B7" s="9">
        <v>41811</v>
      </c>
      <c r="C7" s="9">
        <v>40800</v>
      </c>
      <c r="D7" s="9" t="s">
        <v>50</v>
      </c>
      <c r="E7" s="9" t="s">
        <v>51</v>
      </c>
      <c r="F7" s="13" t="s">
        <v>151</v>
      </c>
      <c r="G7" s="13" t="s">
        <v>52</v>
      </c>
      <c r="H7" s="13" t="s">
        <v>152</v>
      </c>
      <c r="I7" s="9" t="s">
        <v>153</v>
      </c>
    </row>
    <row r="8" spans="1:10" ht="6" customHeight="1" x14ac:dyDescent="0.2"/>
    <row r="9" spans="1:10" ht="18" customHeight="1" x14ac:dyDescent="0.2">
      <c r="A9" s="21" t="s">
        <v>154</v>
      </c>
      <c r="B9" s="20"/>
      <c r="C9" s="20"/>
      <c r="D9" s="20"/>
      <c r="E9" s="20"/>
    </row>
    <row r="10" spans="1:10" ht="28" customHeight="1" x14ac:dyDescent="0.2">
      <c r="A10" s="1" t="s">
        <v>155</v>
      </c>
      <c r="B10" s="1" t="s">
        <v>156</v>
      </c>
      <c r="C10" s="1" t="s">
        <v>157</v>
      </c>
      <c r="D10" s="1" t="s">
        <v>158</v>
      </c>
      <c r="E10" s="1" t="s">
        <v>159</v>
      </c>
      <c r="I10" s="25" t="s">
        <v>330</v>
      </c>
      <c r="J10" t="s">
        <v>337</v>
      </c>
    </row>
    <row r="11" spans="1:10" ht="28" customHeight="1" x14ac:dyDescent="0.2">
      <c r="A11" s="9" t="s">
        <v>160</v>
      </c>
      <c r="B11" s="9" t="s">
        <v>161</v>
      </c>
      <c r="C11" s="9" t="s">
        <v>162</v>
      </c>
      <c r="D11" s="13" t="s">
        <v>163</v>
      </c>
      <c r="E11" s="9" t="s">
        <v>164</v>
      </c>
      <c r="I11" s="26" t="s">
        <v>48</v>
      </c>
      <c r="J11" s="24">
        <v>40800</v>
      </c>
    </row>
    <row r="12" spans="1:10" ht="28" customHeight="1" x14ac:dyDescent="0.2">
      <c r="A12" s="9" t="s">
        <v>165</v>
      </c>
      <c r="B12" s="9" t="s">
        <v>166</v>
      </c>
      <c r="C12" s="9" t="s">
        <v>167</v>
      </c>
      <c r="D12" s="13" t="s">
        <v>168</v>
      </c>
      <c r="E12" s="9" t="s">
        <v>169</v>
      </c>
      <c r="I12" s="26" t="s">
        <v>146</v>
      </c>
      <c r="J12" s="24">
        <v>8284</v>
      </c>
    </row>
    <row r="13" spans="1:10" ht="28" customHeight="1" x14ac:dyDescent="0.2">
      <c r="A13" s="9" t="s">
        <v>170</v>
      </c>
      <c r="B13" s="9" t="s">
        <v>171</v>
      </c>
      <c r="C13" s="9" t="s">
        <v>172</v>
      </c>
      <c r="D13" s="12" t="s">
        <v>173</v>
      </c>
      <c r="E13" s="9" t="s">
        <v>174</v>
      </c>
      <c r="I13" s="26" t="s">
        <v>43</v>
      </c>
      <c r="J13" s="24">
        <v>16541</v>
      </c>
    </row>
    <row r="14" spans="1:10" ht="28" customHeight="1" x14ac:dyDescent="0.2">
      <c r="A14" s="9" t="s">
        <v>175</v>
      </c>
      <c r="B14" s="9" t="s">
        <v>176</v>
      </c>
      <c r="C14" s="9" t="s">
        <v>177</v>
      </c>
      <c r="D14" s="11" t="s">
        <v>178</v>
      </c>
      <c r="E14" s="9" t="s">
        <v>179</v>
      </c>
      <c r="I14" s="26" t="s">
        <v>33</v>
      </c>
      <c r="J14" s="24">
        <v>19140</v>
      </c>
    </row>
    <row r="15" spans="1:10" ht="28" customHeight="1" x14ac:dyDescent="0.2">
      <c r="A15" s="9" t="s">
        <v>180</v>
      </c>
      <c r="B15" s="9" t="s">
        <v>181</v>
      </c>
      <c r="C15" s="9" t="s">
        <v>182</v>
      </c>
      <c r="D15" s="14" t="s">
        <v>183</v>
      </c>
      <c r="E15" s="9" t="s">
        <v>184</v>
      </c>
      <c r="I15" s="26" t="s">
        <v>331</v>
      </c>
      <c r="J15" s="24">
        <v>84765</v>
      </c>
    </row>
    <row r="16" spans="1:10" ht="6" customHeight="1" x14ac:dyDescent="0.2"/>
    <row r="17" spans="1:5" ht="14" customHeight="1" x14ac:dyDescent="0.2">
      <c r="A17" s="22" t="s">
        <v>185</v>
      </c>
      <c r="B17" s="20"/>
      <c r="C17" s="20"/>
      <c r="D17" s="20"/>
      <c r="E17" s="20"/>
    </row>
  </sheetData>
  <mergeCells count="3">
    <mergeCell ref="A1:I1"/>
    <mergeCell ref="A17:E17"/>
    <mergeCell ref="A9:E9"/>
  </mergeCell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tabSelected="1" workbookViewId="0">
      <selection sqref="A1:G1"/>
    </sheetView>
  </sheetViews>
  <sheetFormatPr baseColWidth="10" defaultColWidth="8.83203125" defaultRowHeight="15" x14ac:dyDescent="0.2"/>
  <cols>
    <col min="1" max="1" width="9" customWidth="1"/>
    <col min="2" max="2" width="52" customWidth="1"/>
    <col min="3" max="3" width="20" customWidth="1"/>
    <col min="4" max="4" width="16" customWidth="1"/>
    <col min="5" max="5" width="20" customWidth="1"/>
    <col min="6" max="6" width="18" customWidth="1"/>
    <col min="7" max="7" width="60" customWidth="1"/>
  </cols>
  <sheetData>
    <row r="1" spans="1:7" ht="18" customHeight="1" x14ac:dyDescent="0.2">
      <c r="A1" s="19" t="s">
        <v>186</v>
      </c>
      <c r="B1" s="20"/>
      <c r="C1" s="20"/>
      <c r="D1" s="20"/>
      <c r="E1" s="20"/>
      <c r="F1" s="20"/>
      <c r="G1" s="20"/>
    </row>
    <row r="2" spans="1:7" ht="6" customHeight="1" x14ac:dyDescent="0.2"/>
    <row r="3" spans="1:7" ht="14" customHeight="1" x14ac:dyDescent="0.2">
      <c r="A3" s="7" t="s">
        <v>187</v>
      </c>
    </row>
    <row r="4" spans="1:7" ht="28" customHeight="1" x14ac:dyDescent="0.2">
      <c r="A4" s="1" t="s">
        <v>90</v>
      </c>
      <c r="B4" s="1" t="s">
        <v>55</v>
      </c>
      <c r="C4" s="1" t="s">
        <v>61</v>
      </c>
      <c r="D4" s="1" t="s">
        <v>188</v>
      </c>
      <c r="E4" s="1" t="s">
        <v>94</v>
      </c>
      <c r="F4" s="1" t="s">
        <v>189</v>
      </c>
      <c r="G4" s="1" t="s">
        <v>190</v>
      </c>
    </row>
    <row r="5" spans="1:7" ht="32" customHeight="1" x14ac:dyDescent="0.2">
      <c r="A5" s="9">
        <v>1</v>
      </c>
      <c r="B5" s="9" t="s">
        <v>113</v>
      </c>
      <c r="C5" s="9">
        <v>213177</v>
      </c>
      <c r="D5" s="9" t="s">
        <v>46</v>
      </c>
      <c r="E5" s="9" t="s">
        <v>115</v>
      </c>
      <c r="F5" s="10">
        <v>67.599999999999994</v>
      </c>
      <c r="G5" s="9" t="s">
        <v>191</v>
      </c>
    </row>
    <row r="6" spans="1:7" ht="32" customHeight="1" x14ac:dyDescent="0.2">
      <c r="A6" s="9">
        <v>2</v>
      </c>
      <c r="B6" s="9" t="s">
        <v>133</v>
      </c>
      <c r="C6" s="9">
        <v>127108</v>
      </c>
      <c r="D6" s="9" t="s">
        <v>192</v>
      </c>
      <c r="E6" s="9" t="s">
        <v>135</v>
      </c>
      <c r="F6" s="11">
        <v>53.8</v>
      </c>
      <c r="G6" s="9" t="s">
        <v>193</v>
      </c>
    </row>
    <row r="7" spans="1:7" ht="32" customHeight="1" x14ac:dyDescent="0.2">
      <c r="A7" s="9">
        <v>3</v>
      </c>
      <c r="B7" s="9" t="s">
        <v>129</v>
      </c>
      <c r="C7" s="9">
        <v>133743</v>
      </c>
      <c r="D7" s="9" t="s">
        <v>41</v>
      </c>
      <c r="E7" s="9" t="s">
        <v>131</v>
      </c>
      <c r="F7" s="12">
        <v>51.3</v>
      </c>
      <c r="G7" s="9" t="s">
        <v>194</v>
      </c>
    </row>
    <row r="8" spans="1:7" ht="32" customHeight="1" x14ac:dyDescent="0.2">
      <c r="A8" s="9">
        <v>4</v>
      </c>
      <c r="B8" s="9" t="s">
        <v>101</v>
      </c>
      <c r="C8" s="9">
        <v>353261</v>
      </c>
      <c r="D8" s="9" t="s">
        <v>36</v>
      </c>
      <c r="E8" s="9" t="s">
        <v>103</v>
      </c>
      <c r="F8" s="10">
        <v>44.9</v>
      </c>
      <c r="G8" s="9" t="s">
        <v>195</v>
      </c>
    </row>
    <row r="9" spans="1:7" ht="32" customHeight="1" x14ac:dyDescent="0.2">
      <c r="A9" s="9">
        <v>5</v>
      </c>
      <c r="B9" s="9" t="s">
        <v>96</v>
      </c>
      <c r="C9" s="9">
        <v>462939</v>
      </c>
      <c r="D9" s="9" t="s">
        <v>51</v>
      </c>
      <c r="E9" s="9" t="s">
        <v>98</v>
      </c>
      <c r="F9" s="12">
        <v>44.8</v>
      </c>
      <c r="G9" s="9" t="s">
        <v>196</v>
      </c>
    </row>
    <row r="10" spans="1:7" ht="32" customHeight="1" x14ac:dyDescent="0.2">
      <c r="A10" s="9">
        <v>6</v>
      </c>
      <c r="B10" s="9" t="s">
        <v>197</v>
      </c>
      <c r="C10" s="9">
        <v>43075</v>
      </c>
      <c r="D10" s="9" t="s">
        <v>198</v>
      </c>
      <c r="E10" s="9" t="s">
        <v>131</v>
      </c>
      <c r="F10" s="11">
        <v>44.8</v>
      </c>
      <c r="G10" s="9" t="s">
        <v>199</v>
      </c>
    </row>
    <row r="11" spans="1:7" ht="32" customHeight="1" x14ac:dyDescent="0.2">
      <c r="A11" s="9">
        <v>7</v>
      </c>
      <c r="B11" s="9" t="s">
        <v>105</v>
      </c>
      <c r="C11" s="9">
        <v>308127</v>
      </c>
      <c r="D11" s="9" t="s">
        <v>200</v>
      </c>
      <c r="E11" s="9" t="s">
        <v>107</v>
      </c>
      <c r="F11" s="11">
        <v>40.5</v>
      </c>
      <c r="G11" s="9" t="s">
        <v>201</v>
      </c>
    </row>
    <row r="12" spans="1:7" ht="6" customHeight="1" x14ac:dyDescent="0.2"/>
    <row r="13" spans="1:7" ht="18" customHeight="1" x14ac:dyDescent="0.2">
      <c r="A13" s="21" t="s">
        <v>202</v>
      </c>
      <c r="B13" s="20"/>
      <c r="C13" s="20"/>
      <c r="D13" s="20"/>
      <c r="E13" s="20"/>
    </row>
    <row r="14" spans="1:7" ht="28" customHeight="1" x14ac:dyDescent="0.2">
      <c r="A14" s="1" t="s">
        <v>203</v>
      </c>
      <c r="B14" s="1" t="s">
        <v>204</v>
      </c>
      <c r="C14" s="1" t="s">
        <v>205</v>
      </c>
      <c r="D14" s="1" t="s">
        <v>206</v>
      </c>
      <c r="E14" s="1" t="s">
        <v>207</v>
      </c>
    </row>
    <row r="15" spans="1:7" ht="22" customHeight="1" x14ac:dyDescent="0.2">
      <c r="A15" s="3" t="s">
        <v>208</v>
      </c>
      <c r="B15" s="2" t="s">
        <v>209</v>
      </c>
      <c r="C15" s="2" t="s">
        <v>210</v>
      </c>
      <c r="D15" s="2" t="s">
        <v>211</v>
      </c>
      <c r="E15" s="2" t="s">
        <v>212</v>
      </c>
    </row>
    <row r="16" spans="1:7" ht="22" customHeight="1" x14ac:dyDescent="0.2">
      <c r="A16" s="3" t="s">
        <v>208</v>
      </c>
      <c r="B16" s="2" t="s">
        <v>213</v>
      </c>
      <c r="C16" s="2" t="s">
        <v>214</v>
      </c>
      <c r="D16" s="2" t="s">
        <v>215</v>
      </c>
      <c r="E16" s="2" t="s">
        <v>216</v>
      </c>
    </row>
    <row r="17" spans="1:5" ht="22" customHeight="1" x14ac:dyDescent="0.2">
      <c r="A17" s="3" t="s">
        <v>208</v>
      </c>
      <c r="B17" s="2" t="s">
        <v>217</v>
      </c>
      <c r="C17" s="2" t="s">
        <v>218</v>
      </c>
      <c r="D17" s="2" t="s">
        <v>219</v>
      </c>
      <c r="E17" s="2" t="s">
        <v>220</v>
      </c>
    </row>
    <row r="18" spans="1:5" ht="22" customHeight="1" x14ac:dyDescent="0.2">
      <c r="A18" s="6" t="s">
        <v>221</v>
      </c>
      <c r="B18" s="2" t="s">
        <v>222</v>
      </c>
      <c r="C18" s="2" t="s">
        <v>223</v>
      </c>
      <c r="D18" s="2" t="s">
        <v>224</v>
      </c>
      <c r="E18" s="2" t="s">
        <v>225</v>
      </c>
    </row>
    <row r="19" spans="1:5" ht="22" customHeight="1" x14ac:dyDescent="0.2">
      <c r="A19" s="6" t="s">
        <v>221</v>
      </c>
      <c r="B19" s="2" t="s">
        <v>226</v>
      </c>
      <c r="C19" s="2" t="s">
        <v>227</v>
      </c>
      <c r="D19" s="2" t="s">
        <v>224</v>
      </c>
      <c r="E19" s="2" t="s">
        <v>220</v>
      </c>
    </row>
    <row r="20" spans="1:5" ht="22" customHeight="1" x14ac:dyDescent="0.2">
      <c r="A20" s="5" t="s">
        <v>228</v>
      </c>
      <c r="B20" s="2" t="s">
        <v>229</v>
      </c>
      <c r="C20" s="2" t="s">
        <v>230</v>
      </c>
      <c r="D20" s="2" t="s">
        <v>231</v>
      </c>
      <c r="E20" s="2" t="s">
        <v>232</v>
      </c>
    </row>
    <row r="21" spans="1:5" ht="6" customHeight="1" x14ac:dyDescent="0.2"/>
    <row r="22" spans="1:5" ht="14" customHeight="1" x14ac:dyDescent="0.2">
      <c r="A22" s="22" t="s">
        <v>233</v>
      </c>
      <c r="B22" s="20"/>
      <c r="C22" s="20"/>
      <c r="D22" s="20"/>
      <c r="E22" s="20"/>
    </row>
  </sheetData>
  <mergeCells count="3">
    <mergeCell ref="A22:E22"/>
    <mergeCell ref="A1:G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sqref="A1:I1"/>
    </sheetView>
  </sheetViews>
  <sheetFormatPr baseColWidth="10" defaultColWidth="8.83203125" defaultRowHeight="15" x14ac:dyDescent="0.2"/>
  <cols>
    <col min="1" max="1" width="28" customWidth="1"/>
    <col min="2" max="5" width="12" customWidth="1"/>
    <col min="6" max="6" width="20" customWidth="1"/>
    <col min="7" max="9" width="12" customWidth="1"/>
  </cols>
  <sheetData>
    <row r="1" spans="1:9" ht="18" customHeight="1" x14ac:dyDescent="0.2">
      <c r="A1" s="19" t="s">
        <v>234</v>
      </c>
      <c r="B1" s="20"/>
      <c r="C1" s="20"/>
      <c r="D1" s="20"/>
      <c r="E1" s="20"/>
      <c r="F1" s="20"/>
      <c r="G1" s="20"/>
      <c r="H1" s="20"/>
      <c r="I1" s="20"/>
    </row>
    <row r="2" spans="1:9" ht="6" customHeight="1" x14ac:dyDescent="0.2"/>
    <row r="3" spans="1:9" ht="28" customHeight="1" x14ac:dyDescent="0.2">
      <c r="A3" s="1" t="s">
        <v>28</v>
      </c>
      <c r="B3" s="1" t="s">
        <v>235</v>
      </c>
      <c r="C3" s="1" t="s">
        <v>236</v>
      </c>
      <c r="D3" s="1" t="s">
        <v>237</v>
      </c>
      <c r="E3" s="1" t="s">
        <v>238</v>
      </c>
      <c r="F3" s="1" t="s">
        <v>239</v>
      </c>
      <c r="G3" s="1" t="s">
        <v>240</v>
      </c>
      <c r="H3" s="1" t="s">
        <v>241</v>
      </c>
      <c r="I3" s="1" t="s">
        <v>242</v>
      </c>
    </row>
    <row r="4" spans="1:9" x14ac:dyDescent="0.2">
      <c r="A4" s="2" t="s">
        <v>33</v>
      </c>
      <c r="B4" s="2">
        <v>329437</v>
      </c>
      <c r="C4" s="2">
        <v>335809</v>
      </c>
      <c r="D4" s="2">
        <v>344584</v>
      </c>
      <c r="E4" s="3">
        <v>353261</v>
      </c>
      <c r="F4" s="3">
        <v>23824</v>
      </c>
      <c r="G4" s="3" t="s">
        <v>243</v>
      </c>
      <c r="H4" s="2" t="s">
        <v>244</v>
      </c>
      <c r="I4" s="3" t="s">
        <v>32</v>
      </c>
    </row>
    <row r="5" spans="1:9" x14ac:dyDescent="0.2">
      <c r="A5" s="2" t="s">
        <v>43</v>
      </c>
      <c r="B5" s="2">
        <v>173964</v>
      </c>
      <c r="C5" s="2">
        <v>185667</v>
      </c>
      <c r="D5" s="2">
        <v>199996</v>
      </c>
      <c r="E5" s="3">
        <v>213177</v>
      </c>
      <c r="F5" s="3">
        <v>39213</v>
      </c>
      <c r="G5" s="3" t="s">
        <v>245</v>
      </c>
      <c r="H5" s="2" t="s">
        <v>244</v>
      </c>
      <c r="I5" s="3" t="s">
        <v>32</v>
      </c>
    </row>
    <row r="6" spans="1:9" x14ac:dyDescent="0.2">
      <c r="A6" s="2" t="s">
        <v>146</v>
      </c>
      <c r="B6" s="2">
        <v>119687</v>
      </c>
      <c r="C6" s="2">
        <v>123054</v>
      </c>
      <c r="D6" s="2">
        <v>128962</v>
      </c>
      <c r="E6" s="6">
        <v>133743</v>
      </c>
      <c r="F6" s="6">
        <v>14056</v>
      </c>
      <c r="G6" s="6" t="s">
        <v>246</v>
      </c>
      <c r="H6" s="2" t="s">
        <v>244</v>
      </c>
      <c r="I6" s="6" t="s">
        <v>247</v>
      </c>
    </row>
    <row r="7" spans="1:9" x14ac:dyDescent="0.2">
      <c r="A7" s="2" t="s">
        <v>96</v>
      </c>
      <c r="B7" s="2">
        <v>435349</v>
      </c>
      <c r="C7" s="2">
        <v>443955</v>
      </c>
      <c r="D7" s="2">
        <v>452937</v>
      </c>
      <c r="E7" s="5">
        <v>462939</v>
      </c>
      <c r="F7" s="5">
        <v>27590</v>
      </c>
      <c r="G7" s="5" t="s">
        <v>248</v>
      </c>
      <c r="H7" s="2" t="s">
        <v>244</v>
      </c>
      <c r="I7" s="5" t="s">
        <v>247</v>
      </c>
    </row>
    <row r="8" spans="1:9" ht="6" customHeight="1" x14ac:dyDescent="0.2"/>
    <row r="9" spans="1:9" ht="14" customHeight="1" x14ac:dyDescent="0.2">
      <c r="A9" s="22" t="s">
        <v>249</v>
      </c>
      <c r="B9" s="20"/>
      <c r="C9" s="20"/>
      <c r="D9" s="20"/>
      <c r="E9" s="20"/>
      <c r="F9" s="20"/>
      <c r="G9" s="20"/>
      <c r="H9" s="20"/>
      <c r="I9" s="20"/>
    </row>
  </sheetData>
  <mergeCells count="2">
    <mergeCell ref="A1:I1"/>
    <mergeCell ref="A9:I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>
      <selection sqref="A1:I1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14" customWidth="1"/>
    <col min="4" max="4" width="12" customWidth="1"/>
    <col min="5" max="5" width="18" customWidth="1"/>
    <col min="6" max="7" width="12" customWidth="1"/>
    <col min="8" max="8" width="13" customWidth="1"/>
    <col min="9" max="9" width="12" customWidth="1"/>
  </cols>
  <sheetData>
    <row r="1" spans="1:9" ht="18" customHeight="1" x14ac:dyDescent="0.2">
      <c r="A1" s="19" t="s">
        <v>250</v>
      </c>
      <c r="B1" s="20"/>
      <c r="C1" s="20"/>
      <c r="D1" s="20"/>
      <c r="E1" s="20"/>
      <c r="F1" s="20"/>
      <c r="G1" s="20"/>
      <c r="H1" s="20"/>
      <c r="I1" s="20"/>
    </row>
    <row r="2" spans="1:9" ht="6" customHeight="1" x14ac:dyDescent="0.2"/>
    <row r="3" spans="1:9" ht="28" customHeight="1" x14ac:dyDescent="0.2">
      <c r="A3" s="1" t="s">
        <v>251</v>
      </c>
      <c r="B3" s="1" t="s">
        <v>252</v>
      </c>
      <c r="C3" s="1" t="s">
        <v>253</v>
      </c>
      <c r="D3" s="1" t="s">
        <v>254</v>
      </c>
      <c r="E3" s="1" t="s">
        <v>255</v>
      </c>
      <c r="F3" s="1" t="s">
        <v>256</v>
      </c>
      <c r="G3" s="1" t="s">
        <v>93</v>
      </c>
      <c r="H3" s="1" t="s">
        <v>94</v>
      </c>
      <c r="I3" s="1" t="s">
        <v>95</v>
      </c>
    </row>
    <row r="4" spans="1:9" x14ac:dyDescent="0.2">
      <c r="A4" s="2" t="s">
        <v>235</v>
      </c>
      <c r="B4" s="2">
        <v>230239</v>
      </c>
      <c r="C4" s="2">
        <v>38293</v>
      </c>
      <c r="D4" s="2">
        <v>28612</v>
      </c>
      <c r="E4" s="2">
        <v>239853</v>
      </c>
      <c r="F4" s="2">
        <v>9614</v>
      </c>
      <c r="G4" s="2" t="s">
        <v>257</v>
      </c>
      <c r="H4" s="2" t="s">
        <v>258</v>
      </c>
      <c r="I4" s="2" t="s">
        <v>259</v>
      </c>
    </row>
    <row r="5" spans="1:9" x14ac:dyDescent="0.2">
      <c r="A5" s="2" t="s">
        <v>236</v>
      </c>
      <c r="B5" s="2">
        <v>239853</v>
      </c>
      <c r="C5" s="2">
        <v>37310</v>
      </c>
      <c r="D5" s="2">
        <v>30897</v>
      </c>
      <c r="E5" s="2">
        <v>246689</v>
      </c>
      <c r="F5" s="2">
        <v>6836</v>
      </c>
      <c r="G5" s="2" t="s">
        <v>260</v>
      </c>
      <c r="H5" s="2" t="s">
        <v>261</v>
      </c>
      <c r="I5" s="2" t="s">
        <v>262</v>
      </c>
    </row>
    <row r="6" spans="1:9" x14ac:dyDescent="0.2">
      <c r="A6" s="2" t="s">
        <v>237</v>
      </c>
      <c r="B6" s="2">
        <v>246689</v>
      </c>
      <c r="C6" s="2">
        <v>40903</v>
      </c>
      <c r="D6" s="2">
        <v>32654</v>
      </c>
      <c r="E6" s="2">
        <v>255396</v>
      </c>
      <c r="F6" s="2">
        <v>8707</v>
      </c>
      <c r="G6" s="2" t="s">
        <v>263</v>
      </c>
      <c r="H6" s="2" t="s">
        <v>258</v>
      </c>
      <c r="I6" s="2" t="s">
        <v>264</v>
      </c>
    </row>
    <row r="7" spans="1:9" x14ac:dyDescent="0.2">
      <c r="A7" s="15" t="s">
        <v>238</v>
      </c>
      <c r="B7" s="15">
        <v>255396</v>
      </c>
      <c r="C7" s="16">
        <v>43723</v>
      </c>
      <c r="D7" s="17">
        <v>33190</v>
      </c>
      <c r="E7" s="15">
        <v>266273</v>
      </c>
      <c r="F7" s="16">
        <v>10877</v>
      </c>
      <c r="G7" s="15" t="s">
        <v>265</v>
      </c>
      <c r="H7" s="15" t="s">
        <v>266</v>
      </c>
      <c r="I7" s="15" t="s">
        <v>267</v>
      </c>
    </row>
    <row r="8" spans="1:9" ht="6" customHeight="1" x14ac:dyDescent="0.2"/>
    <row r="9" spans="1:9" ht="18" customHeight="1" x14ac:dyDescent="0.2">
      <c r="A9" s="21" t="s">
        <v>268</v>
      </c>
      <c r="B9" s="20"/>
    </row>
    <row r="10" spans="1:9" ht="18" customHeight="1" x14ac:dyDescent="0.2">
      <c r="A10" s="18" t="s">
        <v>269</v>
      </c>
    </row>
    <row r="11" spans="1:9" ht="18" customHeight="1" x14ac:dyDescent="0.2">
      <c r="A11" s="18" t="s">
        <v>270</v>
      </c>
    </row>
    <row r="12" spans="1:9" ht="18" customHeight="1" x14ac:dyDescent="0.2">
      <c r="A12" s="18" t="s">
        <v>271</v>
      </c>
    </row>
    <row r="13" spans="1:9" ht="18" customHeight="1" x14ac:dyDescent="0.2">
      <c r="A13" s="18" t="s">
        <v>272</v>
      </c>
    </row>
    <row r="14" spans="1:9" ht="18" customHeight="1" x14ac:dyDescent="0.2">
      <c r="A14" s="18" t="s">
        <v>273</v>
      </c>
    </row>
    <row r="15" spans="1:9" ht="6" customHeight="1" x14ac:dyDescent="0.2"/>
    <row r="16" spans="1:9" ht="14" customHeight="1" x14ac:dyDescent="0.2">
      <c r="A16" s="22" t="s">
        <v>274</v>
      </c>
      <c r="B16" s="20"/>
      <c r="C16" s="20"/>
      <c r="D16" s="20"/>
      <c r="E16" s="20"/>
    </row>
  </sheetData>
  <mergeCells count="3">
    <mergeCell ref="A1:I1"/>
    <mergeCell ref="A16:E16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>
      <selection sqref="A1:H1"/>
    </sheetView>
  </sheetViews>
  <sheetFormatPr baseColWidth="10" defaultColWidth="8.83203125" defaultRowHeight="15" x14ac:dyDescent="0.2"/>
  <cols>
    <col min="1" max="1" width="28" customWidth="1"/>
    <col min="2" max="3" width="20" customWidth="1"/>
    <col min="4" max="4" width="12" customWidth="1"/>
    <col min="5" max="5" width="20" customWidth="1"/>
    <col min="6" max="6" width="12" customWidth="1"/>
    <col min="7" max="7" width="20" customWidth="1"/>
    <col min="8" max="8" width="12" customWidth="1"/>
  </cols>
  <sheetData>
    <row r="1" spans="1:8" ht="18" customHeight="1" x14ac:dyDescent="0.2">
      <c r="A1" s="19" t="s">
        <v>275</v>
      </c>
      <c r="B1" s="20"/>
      <c r="C1" s="20"/>
      <c r="D1" s="20"/>
      <c r="E1" s="20"/>
      <c r="F1" s="20"/>
      <c r="G1" s="20"/>
      <c r="H1" s="20"/>
    </row>
    <row r="2" spans="1:8" ht="6" customHeight="1" x14ac:dyDescent="0.2"/>
    <row r="3" spans="1:8" ht="28" customHeight="1" x14ac:dyDescent="0.2">
      <c r="A3" s="1" t="s">
        <v>276</v>
      </c>
      <c r="B3" s="1" t="s">
        <v>277</v>
      </c>
      <c r="C3" s="1" t="s">
        <v>278</v>
      </c>
      <c r="D3" s="1" t="s">
        <v>279</v>
      </c>
      <c r="E3" s="1" t="s">
        <v>280</v>
      </c>
      <c r="F3" s="1" t="s">
        <v>281</v>
      </c>
      <c r="G3" s="1" t="s">
        <v>282</v>
      </c>
      <c r="H3" s="1" t="s">
        <v>283</v>
      </c>
    </row>
    <row r="4" spans="1:8" x14ac:dyDescent="0.2">
      <c r="A4" s="2" t="s">
        <v>284</v>
      </c>
      <c r="B4" s="2">
        <v>817749</v>
      </c>
      <c r="C4" s="2">
        <v>712138</v>
      </c>
      <c r="D4" s="2" t="s">
        <v>285</v>
      </c>
      <c r="E4" s="2">
        <v>627878</v>
      </c>
      <c r="F4" s="2" t="s">
        <v>286</v>
      </c>
      <c r="G4" s="2">
        <v>514567</v>
      </c>
      <c r="H4" s="2" t="s">
        <v>287</v>
      </c>
    </row>
    <row r="5" spans="1:8" x14ac:dyDescent="0.2">
      <c r="A5" s="2" t="s">
        <v>288</v>
      </c>
      <c r="B5" s="2">
        <v>655442</v>
      </c>
      <c r="C5" s="2">
        <v>572166</v>
      </c>
      <c r="D5" s="2" t="s">
        <v>289</v>
      </c>
      <c r="E5" s="2">
        <v>503843</v>
      </c>
      <c r="F5" s="2" t="s">
        <v>290</v>
      </c>
      <c r="G5" s="2">
        <v>410403</v>
      </c>
      <c r="H5" s="2" t="s">
        <v>291</v>
      </c>
    </row>
    <row r="6" spans="1:8" x14ac:dyDescent="0.2">
      <c r="A6" s="2" t="s">
        <v>292</v>
      </c>
      <c r="B6" s="2">
        <v>460714</v>
      </c>
      <c r="C6" s="2">
        <v>401315</v>
      </c>
      <c r="D6" s="2" t="s">
        <v>285</v>
      </c>
      <c r="E6" s="2">
        <v>354146</v>
      </c>
      <c r="F6" s="2" t="s">
        <v>290</v>
      </c>
      <c r="G6" s="2">
        <v>289685</v>
      </c>
      <c r="H6" s="2" t="s">
        <v>287</v>
      </c>
    </row>
    <row r="7" spans="1:8" x14ac:dyDescent="0.2">
      <c r="A7" s="2" t="s">
        <v>293</v>
      </c>
      <c r="B7" s="2">
        <v>149429</v>
      </c>
      <c r="C7" s="2">
        <v>132505</v>
      </c>
      <c r="D7" s="2" t="s">
        <v>294</v>
      </c>
      <c r="E7" s="2">
        <v>118225</v>
      </c>
      <c r="F7" s="2" t="s">
        <v>295</v>
      </c>
      <c r="G7" s="2">
        <v>97852</v>
      </c>
      <c r="H7" s="2" t="s">
        <v>296</v>
      </c>
    </row>
    <row r="8" spans="1:8" x14ac:dyDescent="0.2">
      <c r="A8" s="15" t="s">
        <v>297</v>
      </c>
      <c r="B8" s="15">
        <v>230239</v>
      </c>
      <c r="C8" s="15">
        <v>201627</v>
      </c>
      <c r="D8" s="15" t="s">
        <v>298</v>
      </c>
      <c r="E8" s="15">
        <v>179122</v>
      </c>
      <c r="F8" s="15" t="s">
        <v>299</v>
      </c>
      <c r="G8" s="15">
        <v>147611</v>
      </c>
      <c r="H8" s="16" t="s">
        <v>21</v>
      </c>
    </row>
    <row r="9" spans="1:8" x14ac:dyDescent="0.2">
      <c r="A9" s="2" t="s">
        <v>300</v>
      </c>
      <c r="B9" s="2">
        <v>40721</v>
      </c>
      <c r="C9" s="2">
        <v>36109</v>
      </c>
      <c r="D9" s="2" t="s">
        <v>294</v>
      </c>
      <c r="E9" s="2">
        <v>32226</v>
      </c>
      <c r="F9" s="2" t="s">
        <v>295</v>
      </c>
      <c r="G9" s="2">
        <v>26728</v>
      </c>
      <c r="H9" s="2" t="s">
        <v>301</v>
      </c>
    </row>
    <row r="10" spans="1:8" x14ac:dyDescent="0.2">
      <c r="A10" s="2" t="s">
        <v>302</v>
      </c>
      <c r="B10" s="2">
        <v>14948</v>
      </c>
      <c r="C10" s="2">
        <v>13029</v>
      </c>
      <c r="D10" s="2" t="s">
        <v>303</v>
      </c>
      <c r="E10" s="2">
        <v>11465</v>
      </c>
      <c r="F10" s="2" t="s">
        <v>304</v>
      </c>
      <c r="G10" s="2">
        <v>9383</v>
      </c>
      <c r="H10" s="2" t="s">
        <v>305</v>
      </c>
    </row>
    <row r="11" spans="1:8" x14ac:dyDescent="0.2">
      <c r="A11" s="2" t="s">
        <v>306</v>
      </c>
      <c r="B11" s="2">
        <v>31503</v>
      </c>
      <c r="C11" s="2">
        <v>27065</v>
      </c>
      <c r="D11" s="2" t="s">
        <v>307</v>
      </c>
      <c r="E11" s="2">
        <v>23793</v>
      </c>
      <c r="F11" s="2" t="s">
        <v>308</v>
      </c>
      <c r="G11" s="2">
        <v>19152</v>
      </c>
      <c r="H11" s="2" t="s">
        <v>309</v>
      </c>
    </row>
    <row r="12" spans="1:8" ht="6" customHeight="1" x14ac:dyDescent="0.2"/>
    <row r="13" spans="1:8" ht="22" customHeight="1" x14ac:dyDescent="0.2">
      <c r="A13" s="23" t="s">
        <v>310</v>
      </c>
      <c r="B13" s="20"/>
      <c r="C13" s="20"/>
      <c r="D13" s="20"/>
      <c r="E13" s="20"/>
      <c r="F13" s="20"/>
      <c r="G13" s="20"/>
      <c r="H13" s="20"/>
    </row>
    <row r="14" spans="1:8" ht="6" customHeight="1" x14ac:dyDescent="0.2"/>
    <row r="15" spans="1:8" ht="14" customHeight="1" x14ac:dyDescent="0.2">
      <c r="A15" s="22" t="s">
        <v>274</v>
      </c>
      <c r="B15" s="20"/>
      <c r="C15" s="20"/>
      <c r="D15" s="20"/>
      <c r="E15" s="20"/>
      <c r="F15" s="20"/>
      <c r="G15" s="20"/>
      <c r="H15" s="20"/>
    </row>
  </sheetData>
  <mergeCells count="3">
    <mergeCell ref="A15:H15"/>
    <mergeCell ref="A13:H1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baseColWidth="10" defaultColWidth="8.83203125" defaultRowHeight="15" x14ac:dyDescent="0.2"/>
  <cols>
    <col min="1" max="1" width="26" customWidth="1"/>
    <col min="2" max="3" width="20" customWidth="1"/>
    <col min="4" max="4" width="24" customWidth="1"/>
    <col min="5" max="5" width="12" customWidth="1"/>
    <col min="6" max="7" width="16" customWidth="1"/>
    <col min="8" max="8" width="18" customWidth="1"/>
  </cols>
  <sheetData>
    <row r="1" spans="1:8" ht="18" customHeight="1" x14ac:dyDescent="0.2">
      <c r="A1" s="19" t="s">
        <v>311</v>
      </c>
      <c r="B1" s="20"/>
      <c r="C1" s="20"/>
      <c r="D1" s="20"/>
      <c r="E1" s="20"/>
      <c r="F1" s="20"/>
      <c r="G1" s="20"/>
      <c r="H1" s="20"/>
    </row>
    <row r="2" spans="1:8" ht="6" customHeight="1" x14ac:dyDescent="0.2"/>
    <row r="3" spans="1:8" ht="28" customHeight="1" x14ac:dyDescent="0.2">
      <c r="A3" s="1" t="s">
        <v>28</v>
      </c>
      <c r="B3" s="1" t="s">
        <v>312</v>
      </c>
      <c r="C3" s="1" t="s">
        <v>313</v>
      </c>
      <c r="D3" s="1" t="s">
        <v>139</v>
      </c>
      <c r="E3" s="1" t="s">
        <v>30</v>
      </c>
      <c r="F3" s="1" t="s">
        <v>314</v>
      </c>
      <c r="G3" s="1" t="s">
        <v>315</v>
      </c>
      <c r="H3" s="1" t="s">
        <v>316</v>
      </c>
    </row>
    <row r="4" spans="1:8" x14ac:dyDescent="0.2">
      <c r="A4" s="2" t="s">
        <v>48</v>
      </c>
      <c r="B4" s="2">
        <v>48</v>
      </c>
      <c r="C4" s="2">
        <v>41811</v>
      </c>
      <c r="D4" s="2">
        <v>40800</v>
      </c>
      <c r="E4" s="2" t="s">
        <v>50</v>
      </c>
      <c r="F4" s="2" t="s">
        <v>317</v>
      </c>
      <c r="G4" s="2" t="s">
        <v>318</v>
      </c>
      <c r="H4" s="5" t="s">
        <v>319</v>
      </c>
    </row>
    <row r="5" spans="1:8" x14ac:dyDescent="0.2">
      <c r="A5" s="2" t="s">
        <v>33</v>
      </c>
      <c r="B5" s="2">
        <v>6</v>
      </c>
      <c r="C5" s="2">
        <v>19671</v>
      </c>
      <c r="D5" s="2">
        <v>19140</v>
      </c>
      <c r="E5" s="2" t="s">
        <v>35</v>
      </c>
      <c r="F5" s="2" t="s">
        <v>320</v>
      </c>
      <c r="G5" s="2" t="s">
        <v>321</v>
      </c>
      <c r="H5" s="3" t="s">
        <v>322</v>
      </c>
    </row>
    <row r="6" spans="1:8" x14ac:dyDescent="0.2">
      <c r="A6" s="2" t="s">
        <v>43</v>
      </c>
      <c r="B6" s="2">
        <v>10</v>
      </c>
      <c r="C6" s="2">
        <v>17033</v>
      </c>
      <c r="D6" s="2">
        <v>16541</v>
      </c>
      <c r="E6" s="2" t="s">
        <v>45</v>
      </c>
      <c r="F6" s="2" t="s">
        <v>323</v>
      </c>
      <c r="G6" s="2" t="s">
        <v>324</v>
      </c>
      <c r="H6" s="6" t="s">
        <v>325</v>
      </c>
    </row>
    <row r="7" spans="1:8" x14ac:dyDescent="0.2">
      <c r="A7" s="2" t="s">
        <v>146</v>
      </c>
      <c r="B7" s="2">
        <v>8</v>
      </c>
      <c r="C7" s="2">
        <v>8408</v>
      </c>
      <c r="D7" s="2">
        <v>8284</v>
      </c>
      <c r="E7" s="2" t="s">
        <v>40</v>
      </c>
      <c r="F7" s="2" t="s">
        <v>326</v>
      </c>
      <c r="G7" s="2" t="s">
        <v>327</v>
      </c>
      <c r="H7" s="4" t="s">
        <v>328</v>
      </c>
    </row>
    <row r="8" spans="1:8" x14ac:dyDescent="0.2">
      <c r="A8" s="8" t="s">
        <v>329</v>
      </c>
      <c r="B8" s="8"/>
      <c r="C8" s="8">
        <v>86923</v>
      </c>
      <c r="D8" s="8">
        <v>84765</v>
      </c>
      <c r="E8" s="8"/>
      <c r="F8" s="8"/>
      <c r="G8" s="8"/>
      <c r="H8" s="8"/>
    </row>
    <row r="9" spans="1:8" ht="6" customHeight="1" x14ac:dyDescent="0.2"/>
    <row r="10" spans="1:8" ht="14" customHeight="1" x14ac:dyDescent="0.2">
      <c r="A10" s="22" t="s">
        <v>185</v>
      </c>
      <c r="B10" s="20"/>
      <c r="C10" s="20"/>
      <c r="D10" s="20"/>
      <c r="E10" s="20"/>
      <c r="F10" s="20"/>
      <c r="G10" s="20"/>
      <c r="H10" s="20"/>
    </row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Dashboard</vt:lpstr>
      <vt:lpstr>Pivot — Emp Size</vt:lpstr>
      <vt:lpstr>Top 10 Industries</vt:lpstr>
      <vt:lpstr>Customer Segmentation</vt:lpstr>
      <vt:lpstr>Business Opportunities</vt:lpstr>
      <vt:lpstr>Year on Year Trend</vt:lpstr>
      <vt:lpstr>WA Entries &amp; Exits</vt:lpstr>
      <vt:lpstr>Survival Rates</vt:lpstr>
      <vt:lpstr>Segment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Thapa</cp:lastModifiedBy>
  <dcterms:created xsi:type="dcterms:W3CDTF">2026-06-13T13:20:04Z</dcterms:created>
  <dcterms:modified xsi:type="dcterms:W3CDTF">2026-06-13T13:42:54Z</dcterms:modified>
</cp:coreProperties>
</file>